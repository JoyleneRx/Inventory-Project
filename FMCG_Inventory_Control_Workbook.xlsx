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yol\Desktop\PY PRACT\"/>
    </mc:Choice>
  </mc:AlternateContent>
  <bookViews>
    <workbookView xWindow="0" yWindow="0" windowWidth="20490" windowHeight="7620" tabRatio="500" firstSheet="1" activeTab="5"/>
  </bookViews>
  <sheets>
    <sheet name="README" sheetId="1" r:id="rId1"/>
    <sheet name="Weekly Report" sheetId="2" r:id="rId2"/>
    <sheet name="Settings" sheetId="3" r:id="rId3"/>
    <sheet name="Products" sheetId="4" r:id="rId4"/>
    <sheet name="Transactions" sheetId="5" r:id="rId5"/>
    <sheet name="Register" sheetId="6" r:id="rId6"/>
    <sheet name="Reorder Dashboard" sheetId="7" r:id="rId7"/>
    <sheet name="Reconciliation" sheetId="8" r:id="rId8"/>
    <sheet name="Movers Analysis" sheetId="9" r:id="rId9"/>
    <sheet name="Sales Summary" sheetId="10" r:id="rId10"/>
  </sheets>
  <definedNames>
    <definedName name="_xlnm._FilterDatabase" localSheetId="4" hidden="1">Transactions!$A$5:$L$208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" i="10" l="1"/>
  <c r="C10" i="10"/>
  <c r="A10" i="10"/>
  <c r="A9" i="10"/>
  <c r="C8" i="10"/>
  <c r="A8" i="10"/>
  <c r="A7" i="10"/>
  <c r="C6" i="10"/>
  <c r="A6" i="10"/>
  <c r="A3" i="9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B4" i="8" s="1"/>
  <c r="D15" i="8"/>
  <c r="E35" i="7"/>
  <c r="E34" i="7"/>
  <c r="E33" i="7"/>
  <c r="E32" i="7"/>
  <c r="E31" i="7"/>
  <c r="M26" i="7"/>
  <c r="E26" i="7"/>
  <c r="D26" i="7"/>
  <c r="C26" i="7"/>
  <c r="B26" i="7"/>
  <c r="A26" i="7"/>
  <c r="M25" i="7"/>
  <c r="E25" i="7"/>
  <c r="D25" i="7"/>
  <c r="C25" i="7"/>
  <c r="B25" i="7"/>
  <c r="A25" i="7"/>
  <c r="M24" i="7"/>
  <c r="E24" i="7"/>
  <c r="D24" i="7"/>
  <c r="C24" i="7"/>
  <c r="B24" i="7"/>
  <c r="A24" i="7"/>
  <c r="M23" i="7"/>
  <c r="E23" i="7"/>
  <c r="D23" i="7"/>
  <c r="C23" i="7"/>
  <c r="B23" i="7"/>
  <c r="A23" i="7"/>
  <c r="M22" i="7"/>
  <c r="E22" i="7"/>
  <c r="D22" i="7"/>
  <c r="C22" i="7"/>
  <c r="B22" i="7"/>
  <c r="A22" i="7"/>
  <c r="M21" i="7"/>
  <c r="E21" i="7"/>
  <c r="D21" i="7"/>
  <c r="C21" i="7"/>
  <c r="B21" i="7"/>
  <c r="A21" i="7"/>
  <c r="M20" i="7"/>
  <c r="E20" i="7"/>
  <c r="D20" i="7"/>
  <c r="C20" i="7"/>
  <c r="B20" i="7"/>
  <c r="A20" i="7"/>
  <c r="M19" i="7"/>
  <c r="E19" i="7"/>
  <c r="D19" i="7"/>
  <c r="C19" i="7"/>
  <c r="B19" i="7"/>
  <c r="A19" i="7"/>
  <c r="M18" i="7"/>
  <c r="E18" i="7"/>
  <c r="D18" i="7"/>
  <c r="C18" i="7"/>
  <c r="B18" i="7"/>
  <c r="A18" i="7"/>
  <c r="M17" i="7"/>
  <c r="E17" i="7"/>
  <c r="D17" i="7"/>
  <c r="C17" i="7"/>
  <c r="B17" i="7"/>
  <c r="A17" i="7"/>
  <c r="M16" i="7"/>
  <c r="E16" i="7"/>
  <c r="D16" i="7"/>
  <c r="C16" i="7"/>
  <c r="B16" i="7"/>
  <c r="A16" i="7"/>
  <c r="M15" i="7"/>
  <c r="E15" i="7"/>
  <c r="D15" i="7"/>
  <c r="C15" i="7"/>
  <c r="B15" i="7"/>
  <c r="A15" i="7"/>
  <c r="M14" i="7"/>
  <c r="K14" i="7"/>
  <c r="E14" i="7"/>
  <c r="D14" i="7"/>
  <c r="C14" i="7"/>
  <c r="B14" i="7"/>
  <c r="A14" i="7"/>
  <c r="M13" i="7"/>
  <c r="E13" i="7"/>
  <c r="D13" i="7"/>
  <c r="C13" i="7"/>
  <c r="B13" i="7"/>
  <c r="A13" i="7"/>
  <c r="M12" i="7"/>
  <c r="E12" i="7"/>
  <c r="D12" i="7"/>
  <c r="C12" i="7"/>
  <c r="B12" i="7"/>
  <c r="A12" i="7"/>
  <c r="M11" i="7"/>
  <c r="E11" i="7"/>
  <c r="D11" i="7"/>
  <c r="C11" i="7"/>
  <c r="B11" i="7"/>
  <c r="A11" i="7"/>
  <c r="M10" i="7"/>
  <c r="E10" i="7"/>
  <c r="D10" i="7"/>
  <c r="C10" i="7"/>
  <c r="B10" i="7"/>
  <c r="A10" i="7"/>
  <c r="M9" i="7"/>
  <c r="E9" i="7"/>
  <c r="D9" i="7"/>
  <c r="C9" i="7"/>
  <c r="B9" i="7"/>
  <c r="A9" i="7"/>
  <c r="K24" i="6"/>
  <c r="D24" i="6"/>
  <c r="M23" i="6"/>
  <c r="F32" i="8" s="1"/>
  <c r="C23" i="6"/>
  <c r="B23" i="6"/>
  <c r="B32" i="8" s="1"/>
  <c r="A23" i="6"/>
  <c r="M22" i="6"/>
  <c r="F31" i="8" s="1"/>
  <c r="C22" i="6"/>
  <c r="B22" i="6"/>
  <c r="B31" i="8" s="1"/>
  <c r="A22" i="6"/>
  <c r="M21" i="6"/>
  <c r="F30" i="8" s="1"/>
  <c r="C21" i="6"/>
  <c r="B21" i="6"/>
  <c r="B30" i="8" s="1"/>
  <c r="A21" i="6"/>
  <c r="M20" i="6"/>
  <c r="F29" i="8" s="1"/>
  <c r="C20" i="6"/>
  <c r="B20" i="6"/>
  <c r="B29" i="8" s="1"/>
  <c r="A20" i="6"/>
  <c r="M19" i="6"/>
  <c r="F28" i="8" s="1"/>
  <c r="C19" i="6"/>
  <c r="B19" i="6"/>
  <c r="B28" i="8" s="1"/>
  <c r="A19" i="6"/>
  <c r="M18" i="6"/>
  <c r="F27" i="8" s="1"/>
  <c r="C18" i="6"/>
  <c r="B18" i="6"/>
  <c r="B27" i="8" s="1"/>
  <c r="A18" i="6"/>
  <c r="M17" i="6"/>
  <c r="F26" i="8" s="1"/>
  <c r="C17" i="6"/>
  <c r="B17" i="6"/>
  <c r="B26" i="8" s="1"/>
  <c r="A17" i="6"/>
  <c r="M16" i="6"/>
  <c r="F25" i="8" s="1"/>
  <c r="C16" i="6"/>
  <c r="B16" i="6"/>
  <c r="B25" i="8" s="1"/>
  <c r="A16" i="6"/>
  <c r="M15" i="6"/>
  <c r="F24" i="8" s="1"/>
  <c r="C15" i="6"/>
  <c r="B15" i="6"/>
  <c r="B24" i="8" s="1"/>
  <c r="A15" i="6"/>
  <c r="M14" i="6"/>
  <c r="F23" i="8" s="1"/>
  <c r="C14" i="6"/>
  <c r="B14" i="6"/>
  <c r="B23" i="8" s="1"/>
  <c r="A14" i="6"/>
  <c r="M13" i="6"/>
  <c r="F22" i="8" s="1"/>
  <c r="C13" i="6"/>
  <c r="B13" i="6"/>
  <c r="B22" i="8" s="1"/>
  <c r="A13" i="6"/>
  <c r="M12" i="6"/>
  <c r="F21" i="8" s="1"/>
  <c r="C12" i="6"/>
  <c r="B12" i="6"/>
  <c r="B21" i="8" s="1"/>
  <c r="A12" i="6"/>
  <c r="M11" i="6"/>
  <c r="F20" i="8" s="1"/>
  <c r="C11" i="6"/>
  <c r="B11" i="6"/>
  <c r="B20" i="8" s="1"/>
  <c r="A11" i="6"/>
  <c r="M10" i="6"/>
  <c r="F19" i="8" s="1"/>
  <c r="C10" i="6"/>
  <c r="B10" i="6"/>
  <c r="B19" i="8" s="1"/>
  <c r="A10" i="6"/>
  <c r="M9" i="6"/>
  <c r="F18" i="8" s="1"/>
  <c r="C9" i="6"/>
  <c r="B9" i="6"/>
  <c r="B18" i="8" s="1"/>
  <c r="A9" i="6"/>
  <c r="A18" i="8" s="1"/>
  <c r="M8" i="6"/>
  <c r="F17" i="8" s="1"/>
  <c r="C8" i="6"/>
  <c r="B8" i="6"/>
  <c r="B17" i="8" s="1"/>
  <c r="A8" i="6"/>
  <c r="A17" i="8" s="1"/>
  <c r="M7" i="6"/>
  <c r="F16" i="8" s="1"/>
  <c r="C7" i="6"/>
  <c r="B7" i="6"/>
  <c r="B16" i="8" s="1"/>
  <c r="A7" i="6"/>
  <c r="A16" i="8" s="1"/>
  <c r="M6" i="6"/>
  <c r="F15" i="8" s="1"/>
  <c r="C6" i="6"/>
  <c r="B6" i="6"/>
  <c r="B15" i="8" s="1"/>
  <c r="A6" i="6"/>
  <c r="J208" i="5"/>
  <c r="K208" i="5" s="1"/>
  <c r="E208" i="5"/>
  <c r="D208" i="5"/>
  <c r="J207" i="5"/>
  <c r="K207" i="5" s="1"/>
  <c r="E207" i="5"/>
  <c r="D207" i="5"/>
  <c r="J206" i="5"/>
  <c r="K206" i="5" s="1"/>
  <c r="E206" i="5"/>
  <c r="D206" i="5"/>
  <c r="J205" i="5"/>
  <c r="K205" i="5" s="1"/>
  <c r="E205" i="5"/>
  <c r="D205" i="5"/>
  <c r="J204" i="5"/>
  <c r="K204" i="5" s="1"/>
  <c r="E204" i="5"/>
  <c r="D204" i="5"/>
  <c r="J203" i="5"/>
  <c r="K203" i="5" s="1"/>
  <c r="E203" i="5"/>
  <c r="D203" i="5"/>
  <c r="J202" i="5"/>
  <c r="K202" i="5" s="1"/>
  <c r="E202" i="5"/>
  <c r="D202" i="5"/>
  <c r="J201" i="5"/>
  <c r="K201" i="5" s="1"/>
  <c r="E201" i="5"/>
  <c r="D201" i="5"/>
  <c r="J200" i="5"/>
  <c r="K200" i="5" s="1"/>
  <c r="E200" i="5"/>
  <c r="D200" i="5"/>
  <c r="J199" i="5"/>
  <c r="K199" i="5" s="1"/>
  <c r="E199" i="5"/>
  <c r="D199" i="5"/>
  <c r="J198" i="5"/>
  <c r="K198" i="5" s="1"/>
  <c r="E198" i="5"/>
  <c r="D198" i="5"/>
  <c r="J197" i="5"/>
  <c r="K197" i="5" s="1"/>
  <c r="E197" i="5"/>
  <c r="D197" i="5"/>
  <c r="J196" i="5"/>
  <c r="K196" i="5" s="1"/>
  <c r="E196" i="5"/>
  <c r="D196" i="5"/>
  <c r="J195" i="5"/>
  <c r="K195" i="5" s="1"/>
  <c r="E195" i="5"/>
  <c r="D195" i="5"/>
  <c r="J194" i="5"/>
  <c r="K194" i="5" s="1"/>
  <c r="E194" i="5"/>
  <c r="D194" i="5"/>
  <c r="J193" i="5"/>
  <c r="K193" i="5" s="1"/>
  <c r="E193" i="5"/>
  <c r="D193" i="5"/>
  <c r="J192" i="5"/>
  <c r="K192" i="5" s="1"/>
  <c r="E192" i="5"/>
  <c r="D192" i="5"/>
  <c r="J191" i="5"/>
  <c r="K191" i="5" s="1"/>
  <c r="E191" i="5"/>
  <c r="D191" i="5"/>
  <c r="J190" i="5"/>
  <c r="K190" i="5" s="1"/>
  <c r="E190" i="5"/>
  <c r="D190" i="5"/>
  <c r="J189" i="5"/>
  <c r="K189" i="5" s="1"/>
  <c r="E189" i="5"/>
  <c r="D189" i="5"/>
  <c r="J188" i="5"/>
  <c r="K188" i="5" s="1"/>
  <c r="E188" i="5"/>
  <c r="D188" i="5"/>
  <c r="J187" i="5"/>
  <c r="K187" i="5" s="1"/>
  <c r="E187" i="5"/>
  <c r="D187" i="5"/>
  <c r="J186" i="5"/>
  <c r="K186" i="5" s="1"/>
  <c r="E186" i="5"/>
  <c r="D186" i="5"/>
  <c r="J185" i="5"/>
  <c r="K185" i="5" s="1"/>
  <c r="E185" i="5"/>
  <c r="D185" i="5"/>
  <c r="J184" i="5"/>
  <c r="K184" i="5" s="1"/>
  <c r="E184" i="5"/>
  <c r="D184" i="5"/>
  <c r="J183" i="5"/>
  <c r="K183" i="5" s="1"/>
  <c r="E183" i="5"/>
  <c r="D183" i="5"/>
  <c r="J182" i="5"/>
  <c r="K182" i="5" s="1"/>
  <c r="E182" i="5"/>
  <c r="D182" i="5"/>
  <c r="J181" i="5"/>
  <c r="K181" i="5" s="1"/>
  <c r="E181" i="5"/>
  <c r="D181" i="5"/>
  <c r="J180" i="5"/>
  <c r="K180" i="5" s="1"/>
  <c r="E180" i="5"/>
  <c r="D180" i="5"/>
  <c r="J179" i="5"/>
  <c r="K179" i="5" s="1"/>
  <c r="E179" i="5"/>
  <c r="D179" i="5"/>
  <c r="J178" i="5"/>
  <c r="K178" i="5" s="1"/>
  <c r="E178" i="5"/>
  <c r="D178" i="5"/>
  <c r="J177" i="5"/>
  <c r="K177" i="5" s="1"/>
  <c r="E177" i="5"/>
  <c r="D177" i="5"/>
  <c r="J176" i="5"/>
  <c r="K176" i="5" s="1"/>
  <c r="E176" i="5"/>
  <c r="D176" i="5"/>
  <c r="J175" i="5"/>
  <c r="K175" i="5" s="1"/>
  <c r="E175" i="5"/>
  <c r="D175" i="5"/>
  <c r="J174" i="5"/>
  <c r="K174" i="5" s="1"/>
  <c r="E174" i="5"/>
  <c r="D174" i="5"/>
  <c r="J173" i="5"/>
  <c r="K173" i="5" s="1"/>
  <c r="E173" i="5"/>
  <c r="D173" i="5"/>
  <c r="J172" i="5"/>
  <c r="K172" i="5" s="1"/>
  <c r="E172" i="5"/>
  <c r="D172" i="5"/>
  <c r="J171" i="5"/>
  <c r="K171" i="5" s="1"/>
  <c r="E171" i="5"/>
  <c r="D171" i="5"/>
  <c r="K170" i="5"/>
  <c r="J170" i="5"/>
  <c r="E170" i="5"/>
  <c r="D170" i="5"/>
  <c r="J169" i="5"/>
  <c r="K169" i="5" s="1"/>
  <c r="E169" i="5"/>
  <c r="D169" i="5"/>
  <c r="J168" i="5"/>
  <c r="K168" i="5" s="1"/>
  <c r="E168" i="5"/>
  <c r="D168" i="5"/>
  <c r="J167" i="5"/>
  <c r="K167" i="5" s="1"/>
  <c r="E167" i="5"/>
  <c r="D167" i="5"/>
  <c r="J166" i="5"/>
  <c r="K166" i="5" s="1"/>
  <c r="E166" i="5"/>
  <c r="D166" i="5"/>
  <c r="J165" i="5"/>
  <c r="K165" i="5" s="1"/>
  <c r="E165" i="5"/>
  <c r="D165" i="5"/>
  <c r="J164" i="5"/>
  <c r="K164" i="5" s="1"/>
  <c r="E164" i="5"/>
  <c r="D164" i="5"/>
  <c r="J163" i="5"/>
  <c r="K163" i="5" s="1"/>
  <c r="E163" i="5"/>
  <c r="D163" i="5"/>
  <c r="J162" i="5"/>
  <c r="K162" i="5" s="1"/>
  <c r="E162" i="5"/>
  <c r="D162" i="5"/>
  <c r="J161" i="5"/>
  <c r="K161" i="5" s="1"/>
  <c r="E161" i="5"/>
  <c r="D161" i="5"/>
  <c r="J160" i="5"/>
  <c r="K160" i="5" s="1"/>
  <c r="E160" i="5"/>
  <c r="D160" i="5"/>
  <c r="J159" i="5"/>
  <c r="K159" i="5" s="1"/>
  <c r="E159" i="5"/>
  <c r="D159" i="5"/>
  <c r="J158" i="5"/>
  <c r="K158" i="5" s="1"/>
  <c r="E158" i="5"/>
  <c r="D158" i="5"/>
  <c r="J157" i="5"/>
  <c r="K157" i="5" s="1"/>
  <c r="E157" i="5"/>
  <c r="D157" i="5"/>
  <c r="J156" i="5"/>
  <c r="K156" i="5" s="1"/>
  <c r="E156" i="5"/>
  <c r="D156" i="5"/>
  <c r="J155" i="5"/>
  <c r="K155" i="5" s="1"/>
  <c r="E155" i="5"/>
  <c r="D155" i="5"/>
  <c r="J154" i="5"/>
  <c r="K154" i="5" s="1"/>
  <c r="E154" i="5"/>
  <c r="D154" i="5"/>
  <c r="J153" i="5"/>
  <c r="K153" i="5" s="1"/>
  <c r="E153" i="5"/>
  <c r="D153" i="5"/>
  <c r="J152" i="5"/>
  <c r="K152" i="5" s="1"/>
  <c r="E152" i="5"/>
  <c r="D152" i="5"/>
  <c r="J151" i="5"/>
  <c r="K151" i="5" s="1"/>
  <c r="E151" i="5"/>
  <c r="D151" i="5"/>
  <c r="J150" i="5"/>
  <c r="K150" i="5" s="1"/>
  <c r="E150" i="5"/>
  <c r="D150" i="5"/>
  <c r="J149" i="5"/>
  <c r="K149" i="5" s="1"/>
  <c r="E149" i="5"/>
  <c r="D149" i="5"/>
  <c r="J148" i="5"/>
  <c r="K148" i="5" s="1"/>
  <c r="E148" i="5"/>
  <c r="D148" i="5"/>
  <c r="J147" i="5"/>
  <c r="K147" i="5" s="1"/>
  <c r="E147" i="5"/>
  <c r="D147" i="5"/>
  <c r="J146" i="5"/>
  <c r="K146" i="5" s="1"/>
  <c r="E146" i="5"/>
  <c r="D146" i="5"/>
  <c r="J145" i="5"/>
  <c r="K145" i="5" s="1"/>
  <c r="E145" i="5"/>
  <c r="D145" i="5"/>
  <c r="J144" i="5"/>
  <c r="K144" i="5" s="1"/>
  <c r="E144" i="5"/>
  <c r="D144" i="5"/>
  <c r="J143" i="5"/>
  <c r="K143" i="5" s="1"/>
  <c r="E143" i="5"/>
  <c r="D143" i="5"/>
  <c r="J142" i="5"/>
  <c r="K142" i="5" s="1"/>
  <c r="E142" i="5"/>
  <c r="D142" i="5"/>
  <c r="J141" i="5"/>
  <c r="K141" i="5" s="1"/>
  <c r="E141" i="5"/>
  <c r="D141" i="5"/>
  <c r="J140" i="5"/>
  <c r="K140" i="5" s="1"/>
  <c r="E140" i="5"/>
  <c r="D140" i="5"/>
  <c r="J139" i="5"/>
  <c r="K139" i="5" s="1"/>
  <c r="E139" i="5"/>
  <c r="D139" i="5"/>
  <c r="J138" i="5"/>
  <c r="K138" i="5" s="1"/>
  <c r="E138" i="5"/>
  <c r="D138" i="5"/>
  <c r="J137" i="5"/>
  <c r="K137" i="5" s="1"/>
  <c r="G10" i="10" s="1"/>
  <c r="E137" i="5"/>
  <c r="D137" i="5"/>
  <c r="J136" i="5"/>
  <c r="K136" i="5" s="1"/>
  <c r="E136" i="5"/>
  <c r="D136" i="5"/>
  <c r="J135" i="5"/>
  <c r="K135" i="5" s="1"/>
  <c r="E135" i="5"/>
  <c r="D135" i="5"/>
  <c r="J134" i="5"/>
  <c r="K134" i="5" s="1"/>
  <c r="E134" i="5"/>
  <c r="D134" i="5"/>
  <c r="J133" i="5"/>
  <c r="K133" i="5" s="1"/>
  <c r="E133" i="5"/>
  <c r="D133" i="5"/>
  <c r="J132" i="5"/>
  <c r="K132" i="5" s="1"/>
  <c r="E132" i="5"/>
  <c r="D132" i="5"/>
  <c r="J131" i="5"/>
  <c r="K131" i="5" s="1"/>
  <c r="E131" i="5"/>
  <c r="D131" i="5"/>
  <c r="J130" i="5"/>
  <c r="K130" i="5" s="1"/>
  <c r="E130" i="5"/>
  <c r="D130" i="5"/>
  <c r="J129" i="5"/>
  <c r="K129" i="5" s="1"/>
  <c r="E129" i="5"/>
  <c r="D129" i="5"/>
  <c r="J128" i="5"/>
  <c r="K128" i="5" s="1"/>
  <c r="E128" i="5"/>
  <c r="D128" i="5"/>
  <c r="J127" i="5"/>
  <c r="K127" i="5" s="1"/>
  <c r="E127" i="5"/>
  <c r="D127" i="5"/>
  <c r="J126" i="5"/>
  <c r="K126" i="5" s="1"/>
  <c r="E126" i="5"/>
  <c r="D126" i="5"/>
  <c r="J125" i="5"/>
  <c r="K125" i="5" s="1"/>
  <c r="E125" i="5"/>
  <c r="D125" i="5"/>
  <c r="J124" i="5"/>
  <c r="K124" i="5" s="1"/>
  <c r="E124" i="5"/>
  <c r="D124" i="5"/>
  <c r="J123" i="5"/>
  <c r="K123" i="5" s="1"/>
  <c r="E123" i="5"/>
  <c r="D123" i="5"/>
  <c r="J122" i="5"/>
  <c r="K122" i="5" s="1"/>
  <c r="E122" i="5"/>
  <c r="D122" i="5"/>
  <c r="J121" i="5"/>
  <c r="K121" i="5" s="1"/>
  <c r="E121" i="5"/>
  <c r="D121" i="5"/>
  <c r="J120" i="5"/>
  <c r="K120" i="5" s="1"/>
  <c r="E120" i="5"/>
  <c r="D120" i="5"/>
  <c r="J119" i="5"/>
  <c r="K119" i="5" s="1"/>
  <c r="E119" i="5"/>
  <c r="D119" i="5"/>
  <c r="J118" i="5"/>
  <c r="K118" i="5" s="1"/>
  <c r="E118" i="5"/>
  <c r="D118" i="5"/>
  <c r="J117" i="5"/>
  <c r="K117" i="5" s="1"/>
  <c r="E117" i="5"/>
  <c r="D117" i="5"/>
  <c r="J116" i="5"/>
  <c r="K116" i="5" s="1"/>
  <c r="E116" i="5"/>
  <c r="D116" i="5"/>
  <c r="J115" i="5"/>
  <c r="K115" i="5" s="1"/>
  <c r="E115" i="5"/>
  <c r="D115" i="5"/>
  <c r="J114" i="5"/>
  <c r="K114" i="5" s="1"/>
  <c r="E114" i="5"/>
  <c r="D114" i="5"/>
  <c r="J113" i="5"/>
  <c r="K113" i="5" s="1"/>
  <c r="E113" i="5"/>
  <c r="D113" i="5"/>
  <c r="J112" i="5"/>
  <c r="K112" i="5" s="1"/>
  <c r="E112" i="5"/>
  <c r="D112" i="5"/>
  <c r="J111" i="5"/>
  <c r="K111" i="5" s="1"/>
  <c r="E111" i="5"/>
  <c r="D111" i="5"/>
  <c r="J110" i="5"/>
  <c r="K110" i="5" s="1"/>
  <c r="E110" i="5"/>
  <c r="D110" i="5"/>
  <c r="J109" i="5"/>
  <c r="K109" i="5" s="1"/>
  <c r="E109" i="5"/>
  <c r="D109" i="5"/>
  <c r="J108" i="5"/>
  <c r="K108" i="5" s="1"/>
  <c r="E108" i="5"/>
  <c r="D108" i="5"/>
  <c r="J107" i="5"/>
  <c r="K107" i="5" s="1"/>
  <c r="E107" i="5"/>
  <c r="D107" i="5"/>
  <c r="J106" i="5"/>
  <c r="K106" i="5" s="1"/>
  <c r="E106" i="5"/>
  <c r="D106" i="5"/>
  <c r="J105" i="5"/>
  <c r="K105" i="5" s="1"/>
  <c r="E105" i="5"/>
  <c r="D105" i="5"/>
  <c r="J104" i="5"/>
  <c r="K104" i="5" s="1"/>
  <c r="E104" i="5"/>
  <c r="D104" i="5"/>
  <c r="J103" i="5"/>
  <c r="K103" i="5" s="1"/>
  <c r="E103" i="5"/>
  <c r="D103" i="5"/>
  <c r="J102" i="5"/>
  <c r="K102" i="5" s="1"/>
  <c r="E102" i="5"/>
  <c r="D102" i="5"/>
  <c r="J101" i="5"/>
  <c r="K101" i="5" s="1"/>
  <c r="E101" i="5"/>
  <c r="D101" i="5"/>
  <c r="J100" i="5"/>
  <c r="K100" i="5" s="1"/>
  <c r="E100" i="5"/>
  <c r="D100" i="5"/>
  <c r="J99" i="5"/>
  <c r="K99" i="5" s="1"/>
  <c r="E99" i="5"/>
  <c r="D99" i="5"/>
  <c r="J98" i="5"/>
  <c r="K98" i="5" s="1"/>
  <c r="E98" i="5"/>
  <c r="D98" i="5"/>
  <c r="J97" i="5"/>
  <c r="K97" i="5" s="1"/>
  <c r="E97" i="5"/>
  <c r="D97" i="5"/>
  <c r="J96" i="5"/>
  <c r="K96" i="5" s="1"/>
  <c r="E96" i="5"/>
  <c r="D96" i="5"/>
  <c r="J95" i="5"/>
  <c r="K95" i="5" s="1"/>
  <c r="E95" i="5"/>
  <c r="D95" i="5"/>
  <c r="J94" i="5"/>
  <c r="K94" i="5" s="1"/>
  <c r="E94" i="5"/>
  <c r="D94" i="5"/>
  <c r="J93" i="5"/>
  <c r="K93" i="5" s="1"/>
  <c r="E93" i="5"/>
  <c r="D93" i="5"/>
  <c r="J92" i="5"/>
  <c r="K92" i="5" s="1"/>
  <c r="E92" i="5"/>
  <c r="D92" i="5"/>
  <c r="J91" i="5"/>
  <c r="K91" i="5" s="1"/>
  <c r="E91" i="5"/>
  <c r="D91" i="5"/>
  <c r="J90" i="5"/>
  <c r="K90" i="5" s="1"/>
  <c r="E90" i="5"/>
  <c r="D90" i="5"/>
  <c r="J89" i="5"/>
  <c r="K89" i="5" s="1"/>
  <c r="E89" i="5"/>
  <c r="D89" i="5"/>
  <c r="J88" i="5"/>
  <c r="K88" i="5" s="1"/>
  <c r="E88" i="5"/>
  <c r="D88" i="5"/>
  <c r="J87" i="5"/>
  <c r="K87" i="5" s="1"/>
  <c r="E87" i="5"/>
  <c r="D87" i="5"/>
  <c r="J86" i="5"/>
  <c r="K86" i="5" s="1"/>
  <c r="E86" i="5"/>
  <c r="D86" i="5"/>
  <c r="J85" i="5"/>
  <c r="K85" i="5" s="1"/>
  <c r="E85" i="5"/>
  <c r="D85" i="5"/>
  <c r="J84" i="5"/>
  <c r="K84" i="5" s="1"/>
  <c r="E84" i="5"/>
  <c r="D84" i="5"/>
  <c r="J83" i="5"/>
  <c r="K83" i="5" s="1"/>
  <c r="E83" i="5"/>
  <c r="D83" i="5"/>
  <c r="J82" i="5"/>
  <c r="K82" i="5" s="1"/>
  <c r="E82" i="5"/>
  <c r="D82" i="5"/>
  <c r="J81" i="5"/>
  <c r="K81" i="5" s="1"/>
  <c r="E81" i="5"/>
  <c r="D81" i="5"/>
  <c r="J80" i="5"/>
  <c r="K80" i="5" s="1"/>
  <c r="E80" i="5"/>
  <c r="D80" i="5"/>
  <c r="J79" i="5"/>
  <c r="K79" i="5" s="1"/>
  <c r="E79" i="5"/>
  <c r="D79" i="5"/>
  <c r="J78" i="5"/>
  <c r="K78" i="5" s="1"/>
  <c r="E78" i="5"/>
  <c r="D78" i="5"/>
  <c r="J77" i="5"/>
  <c r="K77" i="5" s="1"/>
  <c r="E77" i="5"/>
  <c r="D77" i="5"/>
  <c r="J76" i="5"/>
  <c r="K76" i="5" s="1"/>
  <c r="E76" i="5"/>
  <c r="D76" i="5"/>
  <c r="J75" i="5"/>
  <c r="K75" i="5" s="1"/>
  <c r="E75" i="5"/>
  <c r="D75" i="5"/>
  <c r="J74" i="5"/>
  <c r="K74" i="5" s="1"/>
  <c r="E74" i="5"/>
  <c r="D74" i="5"/>
  <c r="J73" i="5"/>
  <c r="K73" i="5" s="1"/>
  <c r="E73" i="5"/>
  <c r="D73" i="5"/>
  <c r="J72" i="5"/>
  <c r="K72" i="5" s="1"/>
  <c r="E72" i="5"/>
  <c r="D72" i="5"/>
  <c r="J71" i="5"/>
  <c r="K71" i="5" s="1"/>
  <c r="E71" i="5"/>
  <c r="D71" i="5"/>
  <c r="J70" i="5"/>
  <c r="K70" i="5" s="1"/>
  <c r="E70" i="5"/>
  <c r="D70" i="5"/>
  <c r="J69" i="5"/>
  <c r="K69" i="5" s="1"/>
  <c r="E69" i="5"/>
  <c r="D69" i="5"/>
  <c r="J68" i="5"/>
  <c r="K68" i="5" s="1"/>
  <c r="E68" i="5"/>
  <c r="D68" i="5"/>
  <c r="J67" i="5"/>
  <c r="K67" i="5" s="1"/>
  <c r="E67" i="5"/>
  <c r="D67" i="5"/>
  <c r="J66" i="5"/>
  <c r="K66" i="5" s="1"/>
  <c r="E66" i="5"/>
  <c r="D66" i="5"/>
  <c r="J65" i="5"/>
  <c r="K65" i="5" s="1"/>
  <c r="E65" i="5"/>
  <c r="D65" i="5"/>
  <c r="J64" i="5"/>
  <c r="K64" i="5" s="1"/>
  <c r="E64" i="5"/>
  <c r="D64" i="5"/>
  <c r="J63" i="5"/>
  <c r="K63" i="5" s="1"/>
  <c r="E63" i="5"/>
  <c r="D63" i="5"/>
  <c r="J62" i="5"/>
  <c r="K62" i="5" s="1"/>
  <c r="E62" i="5"/>
  <c r="D62" i="5"/>
  <c r="J61" i="5"/>
  <c r="K61" i="5" s="1"/>
  <c r="E61" i="5"/>
  <c r="D61" i="5"/>
  <c r="J60" i="5"/>
  <c r="K60" i="5" s="1"/>
  <c r="E60" i="5"/>
  <c r="D60" i="5"/>
  <c r="J59" i="5"/>
  <c r="K59" i="5" s="1"/>
  <c r="E59" i="5"/>
  <c r="D59" i="5"/>
  <c r="J58" i="5"/>
  <c r="K58" i="5" s="1"/>
  <c r="E58" i="5"/>
  <c r="D58" i="5"/>
  <c r="J57" i="5"/>
  <c r="K57" i="5" s="1"/>
  <c r="E57" i="5"/>
  <c r="D57" i="5"/>
  <c r="J56" i="5"/>
  <c r="K56" i="5" s="1"/>
  <c r="E56" i="5"/>
  <c r="D56" i="5"/>
  <c r="J55" i="5"/>
  <c r="K55" i="5" s="1"/>
  <c r="E55" i="5"/>
  <c r="D55" i="5"/>
  <c r="J54" i="5"/>
  <c r="K54" i="5" s="1"/>
  <c r="E54" i="5"/>
  <c r="D54" i="5"/>
  <c r="J53" i="5"/>
  <c r="K53" i="5" s="1"/>
  <c r="E53" i="5"/>
  <c r="D53" i="5"/>
  <c r="J52" i="5"/>
  <c r="K52" i="5" s="1"/>
  <c r="E52" i="5"/>
  <c r="D52" i="5"/>
  <c r="J51" i="5"/>
  <c r="K51" i="5" s="1"/>
  <c r="E51" i="5"/>
  <c r="D51" i="5"/>
  <c r="J50" i="5"/>
  <c r="K50" i="5" s="1"/>
  <c r="E50" i="5"/>
  <c r="D50" i="5"/>
  <c r="J49" i="5"/>
  <c r="K49" i="5" s="1"/>
  <c r="E49" i="5"/>
  <c r="D49" i="5"/>
  <c r="J48" i="5"/>
  <c r="K48" i="5" s="1"/>
  <c r="E48" i="5"/>
  <c r="D48" i="5"/>
  <c r="J47" i="5"/>
  <c r="K47" i="5" s="1"/>
  <c r="E47" i="5"/>
  <c r="D47" i="5"/>
  <c r="J46" i="5"/>
  <c r="K46" i="5" s="1"/>
  <c r="E46" i="5"/>
  <c r="D46" i="5"/>
  <c r="J45" i="5"/>
  <c r="K45" i="5" s="1"/>
  <c r="E45" i="5"/>
  <c r="D45" i="5"/>
  <c r="J44" i="5"/>
  <c r="K44" i="5" s="1"/>
  <c r="E44" i="5"/>
  <c r="D44" i="5"/>
  <c r="J43" i="5"/>
  <c r="K43" i="5" s="1"/>
  <c r="E43" i="5"/>
  <c r="D43" i="5"/>
  <c r="J42" i="5"/>
  <c r="K42" i="5" s="1"/>
  <c r="E42" i="5"/>
  <c r="D42" i="5"/>
  <c r="J41" i="5"/>
  <c r="K41" i="5" s="1"/>
  <c r="E41" i="5"/>
  <c r="D41" i="5"/>
  <c r="J40" i="5"/>
  <c r="K40" i="5" s="1"/>
  <c r="E40" i="5"/>
  <c r="D40" i="5"/>
  <c r="J39" i="5"/>
  <c r="K39" i="5" s="1"/>
  <c r="E39" i="5"/>
  <c r="D39" i="5"/>
  <c r="J38" i="5"/>
  <c r="K38" i="5" s="1"/>
  <c r="E38" i="5"/>
  <c r="D38" i="5"/>
  <c r="J37" i="5"/>
  <c r="K37" i="5" s="1"/>
  <c r="E37" i="5"/>
  <c r="D37" i="5"/>
  <c r="J36" i="5"/>
  <c r="K36" i="5" s="1"/>
  <c r="E36" i="5"/>
  <c r="D36" i="5"/>
  <c r="J35" i="5"/>
  <c r="K35" i="5" s="1"/>
  <c r="E35" i="5"/>
  <c r="D35" i="5"/>
  <c r="J34" i="5"/>
  <c r="K34" i="5" s="1"/>
  <c r="E34" i="5"/>
  <c r="D34" i="5"/>
  <c r="J33" i="5"/>
  <c r="K33" i="5" s="1"/>
  <c r="E33" i="5"/>
  <c r="D33" i="5"/>
  <c r="J32" i="5"/>
  <c r="K32" i="5" s="1"/>
  <c r="E32" i="5"/>
  <c r="D32" i="5"/>
  <c r="J31" i="5"/>
  <c r="K31" i="5" s="1"/>
  <c r="E31" i="5"/>
  <c r="D31" i="5"/>
  <c r="J30" i="5"/>
  <c r="K30" i="5" s="1"/>
  <c r="E30" i="5"/>
  <c r="D30" i="5"/>
  <c r="J29" i="5"/>
  <c r="K29" i="5" s="1"/>
  <c r="E29" i="5"/>
  <c r="D29" i="5"/>
  <c r="J28" i="5"/>
  <c r="K28" i="5" s="1"/>
  <c r="E28" i="5"/>
  <c r="D28" i="5"/>
  <c r="J27" i="5"/>
  <c r="K27" i="5" s="1"/>
  <c r="E27" i="5"/>
  <c r="D27" i="5"/>
  <c r="J26" i="5"/>
  <c r="K26" i="5" s="1"/>
  <c r="E26" i="5"/>
  <c r="D26" i="5"/>
  <c r="J25" i="5"/>
  <c r="K25" i="5" s="1"/>
  <c r="E25" i="5"/>
  <c r="D25" i="5"/>
  <c r="J24" i="5"/>
  <c r="K24" i="5" s="1"/>
  <c r="E24" i="5"/>
  <c r="D24" i="5"/>
  <c r="J23" i="5"/>
  <c r="K23" i="5" s="1"/>
  <c r="E23" i="5"/>
  <c r="D23" i="5"/>
  <c r="J22" i="5"/>
  <c r="K22" i="5" s="1"/>
  <c r="E22" i="5"/>
  <c r="D22" i="5"/>
  <c r="J21" i="5"/>
  <c r="K21" i="5" s="1"/>
  <c r="E21" i="5"/>
  <c r="D21" i="5"/>
  <c r="J20" i="5"/>
  <c r="K20" i="5" s="1"/>
  <c r="E20" i="5"/>
  <c r="D20" i="5"/>
  <c r="J19" i="5"/>
  <c r="K19" i="5" s="1"/>
  <c r="E19" i="5"/>
  <c r="D19" i="5"/>
  <c r="J18" i="5"/>
  <c r="K18" i="5" s="1"/>
  <c r="E18" i="5"/>
  <c r="D18" i="5"/>
  <c r="J17" i="5"/>
  <c r="K17" i="5" s="1"/>
  <c r="E17" i="5"/>
  <c r="D17" i="5"/>
  <c r="J16" i="5"/>
  <c r="K16" i="5" s="1"/>
  <c r="E16" i="5"/>
  <c r="D16" i="5"/>
  <c r="J15" i="5"/>
  <c r="K15" i="5" s="1"/>
  <c r="E15" i="5"/>
  <c r="D15" i="5"/>
  <c r="J14" i="5"/>
  <c r="K14" i="5" s="1"/>
  <c r="E14" i="5"/>
  <c r="D14" i="5"/>
  <c r="J13" i="5"/>
  <c r="K13" i="5" s="1"/>
  <c r="E13" i="5"/>
  <c r="D13" i="5"/>
  <c r="J12" i="5"/>
  <c r="K12" i="5" s="1"/>
  <c r="E12" i="5"/>
  <c r="D12" i="5"/>
  <c r="J11" i="5"/>
  <c r="K11" i="5" s="1"/>
  <c r="E11" i="5"/>
  <c r="D11" i="5"/>
  <c r="J10" i="5"/>
  <c r="K10" i="5" s="1"/>
  <c r="E10" i="5"/>
  <c r="D10" i="5"/>
  <c r="J9" i="5"/>
  <c r="K9" i="5" s="1"/>
  <c r="E9" i="5"/>
  <c r="D9" i="5"/>
  <c r="J8" i="5"/>
  <c r="K8" i="5" s="1"/>
  <c r="E8" i="5"/>
  <c r="D8" i="5"/>
  <c r="J7" i="5"/>
  <c r="K7" i="5" s="1"/>
  <c r="E7" i="5"/>
  <c r="D7" i="5"/>
  <c r="J6" i="5"/>
  <c r="K6" i="5" s="1"/>
  <c r="E6" i="5"/>
  <c r="D6" i="5"/>
  <c r="B7" i="3"/>
  <c r="B20" i="2"/>
  <c r="B19" i="2"/>
  <c r="B16" i="2"/>
  <c r="A2" i="2"/>
  <c r="A1" i="2"/>
  <c r="G8" i="10" l="1"/>
  <c r="G6" i="10"/>
  <c r="F18" i="6"/>
  <c r="F19" i="6"/>
  <c r="F20" i="6"/>
  <c r="D21" i="10"/>
  <c r="C20" i="10"/>
  <c r="D17" i="10"/>
  <c r="F21" i="9"/>
  <c r="F17" i="9"/>
  <c r="F13" i="9"/>
  <c r="F9" i="9"/>
  <c r="C21" i="10"/>
  <c r="D18" i="10"/>
  <c r="C17" i="10"/>
  <c r="C22" i="10" s="1"/>
  <c r="D19" i="10"/>
  <c r="C18" i="10"/>
  <c r="F23" i="9"/>
  <c r="F19" i="9"/>
  <c r="F15" i="9"/>
  <c r="F11" i="9"/>
  <c r="F7" i="9"/>
  <c r="D20" i="10"/>
  <c r="C19" i="10"/>
  <c r="F18" i="9"/>
  <c r="F10" i="9"/>
  <c r="F20" i="9"/>
  <c r="F12" i="9"/>
  <c r="F22" i="9"/>
  <c r="F14" i="9"/>
  <c r="F6" i="9"/>
  <c r="F24" i="9" s="1"/>
  <c r="F16" i="9"/>
  <c r="F8" i="9"/>
  <c r="A3" i="8"/>
  <c r="E17" i="6"/>
  <c r="E13" i="6"/>
  <c r="I8" i="6"/>
  <c r="E8" i="6"/>
  <c r="I6" i="6"/>
  <c r="E6" i="6"/>
  <c r="A3" i="6"/>
  <c r="F23" i="6"/>
  <c r="F22" i="6"/>
  <c r="F21" i="6"/>
  <c r="I17" i="6"/>
  <c r="F14" i="6"/>
  <c r="I13" i="6"/>
  <c r="F10" i="6"/>
  <c r="H8" i="6"/>
  <c r="H6" i="6"/>
  <c r="H17" i="6"/>
  <c r="E15" i="6"/>
  <c r="H13" i="6"/>
  <c r="E11" i="6"/>
  <c r="I9" i="6"/>
  <c r="E9" i="6"/>
  <c r="G8" i="6"/>
  <c r="F11" i="7" s="1"/>
  <c r="I7" i="6"/>
  <c r="E7" i="6"/>
  <c r="G6" i="6"/>
  <c r="A21" i="8"/>
  <c r="I12" i="6"/>
  <c r="E12" i="6"/>
  <c r="G12" i="6"/>
  <c r="F15" i="7" s="1"/>
  <c r="A25" i="8"/>
  <c r="I16" i="6"/>
  <c r="E16" i="6"/>
  <c r="G16" i="6"/>
  <c r="F19" i="7" s="1"/>
  <c r="F7" i="6"/>
  <c r="F9" i="6"/>
  <c r="A20" i="8"/>
  <c r="G11" i="6"/>
  <c r="F14" i="7" s="1"/>
  <c r="F11" i="6"/>
  <c r="H12" i="6"/>
  <c r="A24" i="8"/>
  <c r="G15" i="6"/>
  <c r="F18" i="7" s="1"/>
  <c r="F15" i="6"/>
  <c r="H16" i="6"/>
  <c r="G7" i="6"/>
  <c r="F10" i="7" s="1"/>
  <c r="G9" i="6"/>
  <c r="F12" i="7" s="1"/>
  <c r="A19" i="8"/>
  <c r="I10" i="6"/>
  <c r="E10" i="6"/>
  <c r="G10" i="6"/>
  <c r="F13" i="7" s="1"/>
  <c r="H11" i="6"/>
  <c r="A23" i="8"/>
  <c r="I14" i="6"/>
  <c r="E14" i="6"/>
  <c r="G14" i="6"/>
  <c r="F17" i="7" s="1"/>
  <c r="H15" i="6"/>
  <c r="A27" i="8"/>
  <c r="G18" i="6"/>
  <c r="F21" i="7" s="1"/>
  <c r="I18" i="6"/>
  <c r="E18" i="6"/>
  <c r="H18" i="6"/>
  <c r="A28" i="8"/>
  <c r="I19" i="6"/>
  <c r="E19" i="6"/>
  <c r="J19" i="6" s="1"/>
  <c r="G19" i="6"/>
  <c r="F22" i="7" s="1"/>
  <c r="H19" i="6"/>
  <c r="A29" i="8"/>
  <c r="G20" i="6"/>
  <c r="F23" i="7" s="1"/>
  <c r="I20" i="6"/>
  <c r="E20" i="6"/>
  <c r="H20" i="6"/>
  <c r="A30" i="8"/>
  <c r="I21" i="6"/>
  <c r="E21" i="6"/>
  <c r="G21" i="6"/>
  <c r="F24" i="7" s="1"/>
  <c r="H21" i="6"/>
  <c r="A31" i="8"/>
  <c r="G22" i="6"/>
  <c r="F25" i="7" s="1"/>
  <c r="I22" i="6"/>
  <c r="E22" i="6"/>
  <c r="J22" i="6" s="1"/>
  <c r="H22" i="6"/>
  <c r="A32" i="8"/>
  <c r="I23" i="6"/>
  <c r="E23" i="6"/>
  <c r="J23" i="6" s="1"/>
  <c r="G23" i="6"/>
  <c r="F26" i="7" s="1"/>
  <c r="H23" i="6"/>
  <c r="O14" i="7"/>
  <c r="D23" i="9"/>
  <c r="G22" i="9"/>
  <c r="C22" i="9"/>
  <c r="G18" i="9"/>
  <c r="H18" i="9" s="1"/>
  <c r="C18" i="9"/>
  <c r="D15" i="9"/>
  <c r="G14" i="9"/>
  <c r="C14" i="9"/>
  <c r="G10" i="9"/>
  <c r="C10" i="9"/>
  <c r="D7" i="9"/>
  <c r="G6" i="9"/>
  <c r="C6" i="9"/>
  <c r="D21" i="9"/>
  <c r="G20" i="9"/>
  <c r="C20" i="9"/>
  <c r="G16" i="9"/>
  <c r="C16" i="9"/>
  <c r="D13" i="9"/>
  <c r="G12" i="9"/>
  <c r="C12" i="9"/>
  <c r="D9" i="9"/>
  <c r="G8" i="9"/>
  <c r="C8" i="9"/>
  <c r="G23" i="9"/>
  <c r="C19" i="9"/>
  <c r="G15" i="9"/>
  <c r="H15" i="9" s="1"/>
  <c r="C11" i="9"/>
  <c r="D8" i="9"/>
  <c r="G7" i="9"/>
  <c r="C21" i="9"/>
  <c r="D18" i="9"/>
  <c r="G17" i="9"/>
  <c r="C13" i="9"/>
  <c r="D10" i="9"/>
  <c r="G9" i="9"/>
  <c r="C23" i="9"/>
  <c r="G19" i="9"/>
  <c r="C15" i="9"/>
  <c r="D12" i="9"/>
  <c r="G11" i="9"/>
  <c r="C7" i="9"/>
  <c r="D22" i="9"/>
  <c r="G21" i="9"/>
  <c r="H21" i="9" s="1"/>
  <c r="C17" i="9"/>
  <c r="G13" i="9"/>
  <c r="H13" i="9" s="1"/>
  <c r="C9" i="9"/>
  <c r="A15" i="8"/>
  <c r="F6" i="6"/>
  <c r="H7" i="6"/>
  <c r="F8" i="6"/>
  <c r="H9" i="6"/>
  <c r="H10" i="6"/>
  <c r="I11" i="6"/>
  <c r="F12" i="6"/>
  <c r="A22" i="8"/>
  <c r="G13" i="6"/>
  <c r="F16" i="7" s="1"/>
  <c r="F13" i="6"/>
  <c r="H14" i="6"/>
  <c r="I15" i="6"/>
  <c r="F16" i="6"/>
  <c r="A26" i="8"/>
  <c r="G17" i="6"/>
  <c r="F20" i="7" s="1"/>
  <c r="F17" i="6"/>
  <c r="D33" i="8"/>
  <c r="I9" i="10"/>
  <c r="I7" i="10"/>
  <c r="F10" i="10"/>
  <c r="F8" i="10"/>
  <c r="F6" i="10"/>
  <c r="I11" i="10"/>
  <c r="D6" i="10"/>
  <c r="H6" i="10"/>
  <c r="B7" i="10"/>
  <c r="F7" i="10"/>
  <c r="D8" i="10"/>
  <c r="H8" i="10"/>
  <c r="B9" i="10"/>
  <c r="F9" i="10"/>
  <c r="D10" i="10"/>
  <c r="H10" i="10"/>
  <c r="B11" i="10"/>
  <c r="F11" i="10"/>
  <c r="E6" i="10"/>
  <c r="I6" i="10"/>
  <c r="C7" i="10"/>
  <c r="C12" i="10" s="1"/>
  <c r="G7" i="10"/>
  <c r="E8" i="10"/>
  <c r="I8" i="10"/>
  <c r="C9" i="10"/>
  <c r="G9" i="10"/>
  <c r="E10" i="10"/>
  <c r="I10" i="10"/>
  <c r="C11" i="10"/>
  <c r="G11" i="10"/>
  <c r="B6" i="10"/>
  <c r="D7" i="10"/>
  <c r="H7" i="10"/>
  <c r="B8" i="10"/>
  <c r="D9" i="10"/>
  <c r="H9" i="10"/>
  <c r="B10" i="10"/>
  <c r="D11" i="10"/>
  <c r="H11" i="10"/>
  <c r="J11" i="10" s="1"/>
  <c r="E7" i="10"/>
  <c r="E9" i="10"/>
  <c r="E11" i="10"/>
  <c r="E12" i="10" l="1"/>
  <c r="B6" i="2" s="1"/>
  <c r="K21" i="9"/>
  <c r="I21" i="9"/>
  <c r="K18" i="9"/>
  <c r="I18" i="9"/>
  <c r="C32" i="8"/>
  <c r="L23" i="6"/>
  <c r="O23" i="6" s="1"/>
  <c r="H32" i="8" s="1"/>
  <c r="C28" i="8"/>
  <c r="L19" i="6"/>
  <c r="O19" i="6"/>
  <c r="H28" i="8" s="1"/>
  <c r="G14" i="7"/>
  <c r="H14" i="7"/>
  <c r="J14" i="7" s="1"/>
  <c r="J7" i="6"/>
  <c r="G16" i="7"/>
  <c r="H16" i="7"/>
  <c r="J16" i="7" s="1"/>
  <c r="K16" i="7" s="1"/>
  <c r="F24" i="6"/>
  <c r="G24" i="7"/>
  <c r="H24" i="7"/>
  <c r="J24" i="7" s="1"/>
  <c r="K24" i="7" s="1"/>
  <c r="J7" i="10"/>
  <c r="J9" i="10"/>
  <c r="I12" i="10"/>
  <c r="B9" i="2" s="1"/>
  <c r="J10" i="10"/>
  <c r="J8" i="10"/>
  <c r="H12" i="10"/>
  <c r="J6" i="10"/>
  <c r="H20" i="7"/>
  <c r="J20" i="7" s="1"/>
  <c r="K20" i="7" s="1"/>
  <c r="G20" i="7"/>
  <c r="D6" i="9"/>
  <c r="H6" i="9" s="1"/>
  <c r="D20" i="9"/>
  <c r="H7" i="9"/>
  <c r="D16" i="9"/>
  <c r="H8" i="9"/>
  <c r="J13" i="9"/>
  <c r="D11" i="9"/>
  <c r="H22" i="9"/>
  <c r="G26" i="7"/>
  <c r="H26" i="7"/>
  <c r="J26" i="7" s="1"/>
  <c r="K26" i="7" s="1"/>
  <c r="G22" i="7"/>
  <c r="H22" i="7"/>
  <c r="J22" i="7" s="1"/>
  <c r="K22" i="7" s="1"/>
  <c r="J10" i="6"/>
  <c r="G10" i="7"/>
  <c r="H10" i="7"/>
  <c r="J10" i="7" s="1"/>
  <c r="K10" i="7" s="1"/>
  <c r="G24" i="6"/>
  <c r="F9" i="7"/>
  <c r="B10" i="2"/>
  <c r="J9" i="6"/>
  <c r="J15" i="6"/>
  <c r="E24" i="6"/>
  <c r="J6" i="6"/>
  <c r="B17" i="2"/>
  <c r="J13" i="6"/>
  <c r="D22" i="10"/>
  <c r="E20" i="10" s="1"/>
  <c r="G17" i="7"/>
  <c r="H17" i="7"/>
  <c r="J17" i="7" s="1"/>
  <c r="K17" i="7" s="1"/>
  <c r="G19" i="7"/>
  <c r="H19" i="7"/>
  <c r="J19" i="7" s="1"/>
  <c r="K19" i="7" s="1"/>
  <c r="G15" i="7"/>
  <c r="H15" i="7"/>
  <c r="J15" i="7" s="1"/>
  <c r="K15" i="7" s="1"/>
  <c r="J11" i="6"/>
  <c r="H24" i="6"/>
  <c r="B33" i="2"/>
  <c r="J8" i="6"/>
  <c r="E18" i="10"/>
  <c r="G12" i="10"/>
  <c r="B8" i="2" s="1"/>
  <c r="D12" i="10"/>
  <c r="E12" i="9"/>
  <c r="J12" i="9"/>
  <c r="H17" i="9"/>
  <c r="E8" i="9"/>
  <c r="J8" i="9"/>
  <c r="J9" i="9"/>
  <c r="A9" i="9"/>
  <c r="J7" i="9"/>
  <c r="E7" i="9"/>
  <c r="J23" i="9"/>
  <c r="C31" i="8"/>
  <c r="L22" i="6"/>
  <c r="O22" i="6"/>
  <c r="H31" i="8" s="1"/>
  <c r="H23" i="7"/>
  <c r="J23" i="7" s="1"/>
  <c r="K23" i="7" s="1"/>
  <c r="G23" i="7"/>
  <c r="J18" i="6"/>
  <c r="G18" i="7"/>
  <c r="H18" i="7"/>
  <c r="J18" i="7" s="1"/>
  <c r="K18" i="7" s="1"/>
  <c r="L14" i="7"/>
  <c r="N14" i="7" s="1"/>
  <c r="E7" i="8"/>
  <c r="B32" i="2" s="1"/>
  <c r="I24" i="6"/>
  <c r="J17" i="6"/>
  <c r="K13" i="9"/>
  <c r="I13" i="9"/>
  <c r="J22" i="9"/>
  <c r="H9" i="9"/>
  <c r="J18" i="9"/>
  <c r="H23" i="9"/>
  <c r="J21" i="9"/>
  <c r="A21" i="9"/>
  <c r="H14" i="9"/>
  <c r="D19" i="9"/>
  <c r="F12" i="10"/>
  <c r="B7" i="2" s="1"/>
  <c r="D14" i="9"/>
  <c r="H19" i="9"/>
  <c r="E10" i="9"/>
  <c r="J10" i="9"/>
  <c r="K15" i="9"/>
  <c r="I15" i="9"/>
  <c r="H12" i="9"/>
  <c r="D17" i="9"/>
  <c r="H10" i="9"/>
  <c r="J15" i="9"/>
  <c r="H25" i="7"/>
  <c r="J25" i="7" s="1"/>
  <c r="K25" i="7" s="1"/>
  <c r="G25" i="7"/>
  <c r="J21" i="6"/>
  <c r="J20" i="6"/>
  <c r="H21" i="7"/>
  <c r="J21" i="7" s="1"/>
  <c r="K21" i="7" s="1"/>
  <c r="G21" i="7"/>
  <c r="J14" i="6"/>
  <c r="G13" i="7"/>
  <c r="H13" i="7"/>
  <c r="J13" i="7" s="1"/>
  <c r="K13" i="7" s="1"/>
  <c r="G12" i="7"/>
  <c r="H12" i="7"/>
  <c r="J12" i="7" s="1"/>
  <c r="K12" i="7" s="1"/>
  <c r="J16" i="6"/>
  <c r="J12" i="6"/>
  <c r="G11" i="7"/>
  <c r="H11" i="7"/>
  <c r="J11" i="7" s="1"/>
  <c r="K11" i="7" s="1"/>
  <c r="K6" i="9" l="1"/>
  <c r="I6" i="9"/>
  <c r="K19" i="9"/>
  <c r="I19" i="9"/>
  <c r="K14" i="9"/>
  <c r="I14" i="9"/>
  <c r="K23" i="9"/>
  <c r="I23" i="9"/>
  <c r="I9" i="9"/>
  <c r="K9" i="9"/>
  <c r="A23" i="9"/>
  <c r="A8" i="9"/>
  <c r="A12" i="9"/>
  <c r="C22" i="8"/>
  <c r="L13" i="6"/>
  <c r="O13" i="6"/>
  <c r="H22" i="8" s="1"/>
  <c r="C24" i="8"/>
  <c r="L15" i="6"/>
  <c r="L22" i="7"/>
  <c r="N22" i="7" s="1"/>
  <c r="O22" i="7"/>
  <c r="K22" i="9"/>
  <c r="I22" i="9"/>
  <c r="L11" i="7"/>
  <c r="N11" i="7" s="1"/>
  <c r="O11" i="7"/>
  <c r="L12" i="7"/>
  <c r="N12" i="7" s="1"/>
  <c r="O12" i="7"/>
  <c r="C23" i="8"/>
  <c r="O14" i="6"/>
  <c r="H23" i="8" s="1"/>
  <c r="L14" i="6"/>
  <c r="C30" i="8"/>
  <c r="L21" i="6"/>
  <c r="O21" i="6"/>
  <c r="H30" i="8" s="1"/>
  <c r="A15" i="9"/>
  <c r="I12" i="9"/>
  <c r="K12" i="9"/>
  <c r="A10" i="9"/>
  <c r="E14" i="9"/>
  <c r="J14" i="9"/>
  <c r="A14" i="9"/>
  <c r="E21" i="9"/>
  <c r="A18" i="9"/>
  <c r="A22" i="9"/>
  <c r="C27" i="8"/>
  <c r="L18" i="6"/>
  <c r="O18" i="6"/>
  <c r="H27" i="8" s="1"/>
  <c r="E31" i="8"/>
  <c r="P22" i="6"/>
  <c r="I31" i="8" s="1"/>
  <c r="J31" i="8" s="1"/>
  <c r="N22" i="6"/>
  <c r="G31" i="8" s="1"/>
  <c r="E9" i="9"/>
  <c r="E21" i="10"/>
  <c r="L19" i="7"/>
  <c r="N19" i="7" s="1"/>
  <c r="O19" i="7"/>
  <c r="E17" i="10"/>
  <c r="C18" i="8"/>
  <c r="L9" i="6"/>
  <c r="L10" i="7"/>
  <c r="N10" i="7" s="1"/>
  <c r="O10" i="7"/>
  <c r="J11" i="9"/>
  <c r="A11" i="9"/>
  <c r="E11" i="9"/>
  <c r="E20" i="9"/>
  <c r="J20" i="9"/>
  <c r="A20" i="9"/>
  <c r="L20" i="7"/>
  <c r="N20" i="7" s="1"/>
  <c r="O20" i="7"/>
  <c r="L24" i="7"/>
  <c r="N24" i="7" s="1"/>
  <c r="O24" i="7"/>
  <c r="L16" i="7"/>
  <c r="O16" i="7"/>
  <c r="C15" i="8"/>
  <c r="O6" i="6"/>
  <c r="H15" i="8" s="1"/>
  <c r="J24" i="6"/>
  <c r="L6" i="6"/>
  <c r="B18" i="2"/>
  <c r="L26" i="7"/>
  <c r="N26" i="7" s="1"/>
  <c r="O26" i="7"/>
  <c r="I8" i="9"/>
  <c r="K8" i="9"/>
  <c r="H11" i="9"/>
  <c r="L6" i="9" s="1"/>
  <c r="J12" i="10"/>
  <c r="C7" i="2"/>
  <c r="C20" i="8"/>
  <c r="L11" i="6"/>
  <c r="O11" i="6"/>
  <c r="H20" i="8" s="1"/>
  <c r="C21" i="8"/>
  <c r="L12" i="6"/>
  <c r="O12" i="6"/>
  <c r="H21" i="8" s="1"/>
  <c r="L13" i="7"/>
  <c r="O13" i="7"/>
  <c r="O21" i="7"/>
  <c r="L21" i="7"/>
  <c r="O25" i="7"/>
  <c r="L25" i="7"/>
  <c r="N25" i="7" s="1"/>
  <c r="K10" i="9"/>
  <c r="I10" i="9"/>
  <c r="J19" i="9"/>
  <c r="A19" i="9"/>
  <c r="E19" i="9"/>
  <c r="E18" i="9"/>
  <c r="E22" i="9"/>
  <c r="C26" i="8"/>
  <c r="L17" i="6"/>
  <c r="O17" i="6" s="1"/>
  <c r="H26" i="8" s="1"/>
  <c r="L18" i="7"/>
  <c r="O18" i="7"/>
  <c r="O23" i="7"/>
  <c r="L23" i="7"/>
  <c r="N23" i="7" s="1"/>
  <c r="E23" i="9"/>
  <c r="A7" i="9"/>
  <c r="I17" i="9"/>
  <c r="K17" i="9"/>
  <c r="C17" i="8"/>
  <c r="O8" i="6"/>
  <c r="H17" i="8" s="1"/>
  <c r="L8" i="6"/>
  <c r="L15" i="7"/>
  <c r="N15" i="7" s="1"/>
  <c r="O15" i="7"/>
  <c r="L17" i="7"/>
  <c r="N17" i="7" s="1"/>
  <c r="O17" i="7"/>
  <c r="E19" i="10"/>
  <c r="G9" i="7"/>
  <c r="H9" i="7"/>
  <c r="J9" i="7" s="1"/>
  <c r="K9" i="7" s="1"/>
  <c r="C19" i="8"/>
  <c r="O10" i="6"/>
  <c r="H19" i="8" s="1"/>
  <c r="L10" i="6"/>
  <c r="E13" i="9"/>
  <c r="E16" i="9"/>
  <c r="J16" i="9"/>
  <c r="A16" i="9"/>
  <c r="E6" i="9"/>
  <c r="J6" i="9"/>
  <c r="A6" i="9"/>
  <c r="D24" i="9"/>
  <c r="J13" i="10"/>
  <c r="B5" i="2"/>
  <c r="B11" i="2" s="1"/>
  <c r="H16" i="9"/>
  <c r="L15" i="9" s="1"/>
  <c r="E32" i="8"/>
  <c r="N23" i="6"/>
  <c r="G32" i="8" s="1"/>
  <c r="P23" i="6"/>
  <c r="I32" i="8" s="1"/>
  <c r="J32" i="8" s="1"/>
  <c r="C25" i="8"/>
  <c r="L16" i="6"/>
  <c r="O16" i="6"/>
  <c r="H25" i="8" s="1"/>
  <c r="C29" i="8"/>
  <c r="L20" i="6"/>
  <c r="E15" i="9"/>
  <c r="J17" i="9"/>
  <c r="A17" i="9"/>
  <c r="E17" i="9"/>
  <c r="A13" i="9"/>
  <c r="K7" i="9"/>
  <c r="I7" i="9"/>
  <c r="C16" i="8"/>
  <c r="L7" i="6"/>
  <c r="O7" i="6"/>
  <c r="H16" i="8" s="1"/>
  <c r="E28" i="8"/>
  <c r="N19" i="6"/>
  <c r="G28" i="8" s="1"/>
  <c r="P19" i="6"/>
  <c r="I28" i="8" s="1"/>
  <c r="J28" i="8" s="1"/>
  <c r="H20" i="9"/>
  <c r="C6" i="2"/>
  <c r="C33" i="8" l="1"/>
  <c r="L12" i="9"/>
  <c r="E24" i="8"/>
  <c r="P15" i="6"/>
  <c r="I24" i="8" s="1"/>
  <c r="N15" i="6"/>
  <c r="G24" i="8" s="1"/>
  <c r="L19" i="9"/>
  <c r="E16" i="8"/>
  <c r="P7" i="6"/>
  <c r="I16" i="8" s="1"/>
  <c r="J16" i="8" s="1"/>
  <c r="N7" i="6"/>
  <c r="G16" i="8" s="1"/>
  <c r="L7" i="9"/>
  <c r="B49" i="2" s="1"/>
  <c r="B12" i="2"/>
  <c r="B13" i="2" s="1"/>
  <c r="A52" i="2" s="1"/>
  <c r="E17" i="8"/>
  <c r="N8" i="6"/>
  <c r="G17" i="8" s="1"/>
  <c r="P8" i="6"/>
  <c r="I17" i="8" s="1"/>
  <c r="L10" i="9"/>
  <c r="N13" i="7"/>
  <c r="D32" i="7" s="1"/>
  <c r="C32" i="7"/>
  <c r="E15" i="8"/>
  <c r="L24" i="6"/>
  <c r="N6" i="6"/>
  <c r="P6" i="6"/>
  <c r="I15" i="8" s="1"/>
  <c r="E30" i="8"/>
  <c r="N21" i="6"/>
  <c r="G30" i="8" s="1"/>
  <c r="P21" i="6"/>
  <c r="I30" i="8" s="1"/>
  <c r="C8" i="2"/>
  <c r="L18" i="9"/>
  <c r="I20" i="9"/>
  <c r="K20" i="9"/>
  <c r="L20" i="9"/>
  <c r="E29" i="8"/>
  <c r="P20" i="6"/>
  <c r="I29" i="8" s="1"/>
  <c r="J29" i="8" s="1"/>
  <c r="N20" i="6"/>
  <c r="G29" i="8" s="1"/>
  <c r="I16" i="9"/>
  <c r="K16" i="9"/>
  <c r="L16" i="9"/>
  <c r="L9" i="7"/>
  <c r="D5" i="7"/>
  <c r="B5" i="7"/>
  <c r="B22" i="2" s="1"/>
  <c r="C5" i="7"/>
  <c r="B23" i="2" s="1"/>
  <c r="O9" i="7"/>
  <c r="A5" i="7"/>
  <c r="B21" i="2" s="1"/>
  <c r="L17" i="9"/>
  <c r="E26" i="8"/>
  <c r="P17" i="6"/>
  <c r="I26" i="8" s="1"/>
  <c r="J26" i="8" s="1"/>
  <c r="N17" i="6"/>
  <c r="G26" i="8" s="1"/>
  <c r="N21" i="7"/>
  <c r="D35" i="7" s="1"/>
  <c r="C35" i="7"/>
  <c r="E20" i="8"/>
  <c r="P11" i="6"/>
  <c r="I20" i="8" s="1"/>
  <c r="J20" i="8" s="1"/>
  <c r="N11" i="6"/>
  <c r="G20" i="8" s="1"/>
  <c r="L11" i="9"/>
  <c r="K11" i="9"/>
  <c r="I11" i="9"/>
  <c r="N16" i="7"/>
  <c r="D33" i="7" s="1"/>
  <c r="C33" i="7"/>
  <c r="E22" i="10"/>
  <c r="L22" i="9"/>
  <c r="L23" i="9"/>
  <c r="L21" i="9"/>
  <c r="D42" i="2"/>
  <c r="D41" i="2"/>
  <c r="D40" i="2"/>
  <c r="D39" i="2"/>
  <c r="D38" i="2"/>
  <c r="C42" i="2"/>
  <c r="C40" i="2"/>
  <c r="B42" i="2"/>
  <c r="B38" i="2"/>
  <c r="C39" i="2"/>
  <c r="B40" i="2"/>
  <c r="A42" i="2"/>
  <c r="A41" i="2"/>
  <c r="A40" i="2"/>
  <c r="A39" i="2"/>
  <c r="A38" i="2"/>
  <c r="C41" i="2"/>
  <c r="C38" i="2"/>
  <c r="B41" i="2"/>
  <c r="B39" i="2"/>
  <c r="N18" i="7"/>
  <c r="D34" i="7" s="1"/>
  <c r="C34" i="7"/>
  <c r="E18" i="8"/>
  <c r="P9" i="6"/>
  <c r="I18" i="8" s="1"/>
  <c r="J18" i="8" s="1"/>
  <c r="N9" i="6"/>
  <c r="G18" i="8" s="1"/>
  <c r="O20" i="6"/>
  <c r="H29" i="8" s="1"/>
  <c r="E25" i="8"/>
  <c r="N16" i="6"/>
  <c r="G25" i="8" s="1"/>
  <c r="P16" i="6"/>
  <c r="I25" i="8" s="1"/>
  <c r="J25" i="8" s="1"/>
  <c r="E19" i="8"/>
  <c r="N10" i="6"/>
  <c r="G19" i="8" s="1"/>
  <c r="P10" i="6"/>
  <c r="I19" i="8" s="1"/>
  <c r="J19" i="8" s="1"/>
  <c r="E21" i="8"/>
  <c r="N12" i="6"/>
  <c r="G21" i="8" s="1"/>
  <c r="P12" i="6"/>
  <c r="I21" i="8" s="1"/>
  <c r="L8" i="9"/>
  <c r="C49" i="2" s="1"/>
  <c r="O9" i="6"/>
  <c r="H18" i="8" s="1"/>
  <c r="E27" i="8"/>
  <c r="P18" i="6"/>
  <c r="I27" i="8" s="1"/>
  <c r="J27" i="8" s="1"/>
  <c r="N18" i="6"/>
  <c r="G27" i="8" s="1"/>
  <c r="E23" i="8"/>
  <c r="N14" i="6"/>
  <c r="G23" i="8" s="1"/>
  <c r="P14" i="6"/>
  <c r="I23" i="8" s="1"/>
  <c r="J23" i="8" s="1"/>
  <c r="O15" i="6"/>
  <c r="H24" i="8" s="1"/>
  <c r="E22" i="8"/>
  <c r="P13" i="6"/>
  <c r="I22" i="8" s="1"/>
  <c r="J22" i="8" s="1"/>
  <c r="N13" i="6"/>
  <c r="G22" i="8" s="1"/>
  <c r="L9" i="9"/>
  <c r="L14" i="9"/>
  <c r="L13" i="9"/>
  <c r="C28" i="9"/>
  <c r="C27" i="9"/>
  <c r="C29" i="9"/>
  <c r="J24" i="8" l="1"/>
  <c r="B45" i="2"/>
  <c r="A45" i="2"/>
  <c r="D49" i="2"/>
  <c r="A49" i="2"/>
  <c r="J21" i="8"/>
  <c r="E33" i="8"/>
  <c r="J17" i="8"/>
  <c r="C47" i="2"/>
  <c r="A46" i="2"/>
  <c r="B46" i="2"/>
  <c r="D45" i="2"/>
  <c r="B47" i="2"/>
  <c r="B7" i="8"/>
  <c r="B5" i="8"/>
  <c r="B8" i="8" s="1"/>
  <c r="B28" i="2" s="1"/>
  <c r="B6" i="8"/>
  <c r="D48" i="2"/>
  <c r="A47" i="2"/>
  <c r="C46" i="2"/>
  <c r="D46" i="2"/>
  <c r="B48" i="2"/>
  <c r="N9" i="7"/>
  <c r="C31" i="7"/>
  <c r="C36" i="7" s="1"/>
  <c r="J30" i="8"/>
  <c r="G15" i="8"/>
  <c r="J15" i="8" s="1"/>
  <c r="B9" i="8" s="1"/>
  <c r="N24" i="6"/>
  <c r="D47" i="2"/>
  <c r="C48" i="2"/>
  <c r="C45" i="2"/>
  <c r="A56" i="2" s="1"/>
  <c r="A48" i="2"/>
  <c r="B27" i="2" l="1"/>
  <c r="G33" i="8"/>
  <c r="E6" i="8"/>
  <c r="B31" i="2" s="1"/>
  <c r="E5" i="8"/>
  <c r="B30" i="2" s="1"/>
  <c r="E4" i="8"/>
  <c r="E5" i="7"/>
  <c r="B24" i="2" s="1"/>
  <c r="A53" i="2" s="1"/>
  <c r="D31" i="7"/>
  <c r="D36" i="7" s="1"/>
  <c r="E8" i="8" l="1"/>
  <c r="E9" i="8" s="1"/>
  <c r="B29" i="2"/>
  <c r="B34" i="2" s="1"/>
  <c r="A54" i="2"/>
  <c r="C34" i="2" l="1"/>
  <c r="A55" i="2" s="1"/>
</calcChain>
</file>

<file path=xl/sharedStrings.xml><?xml version="1.0" encoding="utf-8"?>
<sst xmlns="http://schemas.openxmlformats.org/spreadsheetml/2006/main" count="1410" uniqueCount="528">
  <si>
    <t>Retail Inventory Control &amp; Stock Reconciliation Workbook</t>
  </si>
  <si>
    <t>Nigerian FMCG distributor: beverages, noodles, cooking oil, home care and packaged food</t>
  </si>
  <si>
    <t>Purpose</t>
  </si>
  <si>
    <t>Tracks stock movements for one week, reconciles book stock to a physical count, raises reorder alerts, classifies fast and slow movers, and produces a weekly inventory report.</t>
  </si>
  <si>
    <t>SAMPLE DATA</t>
  </si>
  <si>
    <t>All product names, prices, suppliers, customers, quantities and investigation notes are fictitious illustrations for this exercise. Prices are not market quotes. Replace the blue cells with your own data.</t>
  </si>
  <si>
    <t>Reporting week</t>
  </si>
  <si>
    <t>Mon 19 Oct to Sat 24 Oct 2026 (6 trading days). Change the start date and trading days on the Settings sheet.</t>
  </si>
  <si>
    <t>Unit of stock</t>
  </si>
  <si>
    <t>Cartons / packs as stated in the Pack column on Products. Values are in Naira (₦) at cost unless stated.</t>
  </si>
  <si>
    <t>SHEET GUIDE</t>
  </si>
  <si>
    <t>Settings</t>
  </si>
  <si>
    <t>Week dates, safety days, alert buffers, variance tolerances, fast/slow thresholds. Edit blue cells only.</t>
  </si>
  <si>
    <t>Products</t>
  </si>
  <si>
    <t>Product master: code, supplier, pack, unit cost, selling price, supplier lead time.</t>
  </si>
  <si>
    <t>Transactions</t>
  </si>
  <si>
    <t>Daily log of purchases, sales (cash / transfer / credit), sales returns, supplier returns and damaged stock (203 sample lines).</t>
  </si>
  <si>
    <t>Register</t>
  </si>
  <si>
    <t>Inventory register. Expected closing = Opening + Stock Received + Sales Returns − Units Sold − Supplier Returns − Damaged. Enter opening stock and physical count here.</t>
  </si>
  <si>
    <t>Reconciliation</t>
  </si>
  <si>
    <t>STOCK RECONCILIATION REPORT: book vs physical, variance in units and ₦, priority flag and investigation notes.</t>
  </si>
  <si>
    <t>Reorder Dashboard</t>
  </si>
  <si>
    <t>REORDER ALERT DASHBOARD: minimum levels, alert status, suggested order quantities and values by supplier.</t>
  </si>
  <si>
    <t>Movers Analysis</t>
  </si>
  <si>
    <t>Fast / medium / slow classification using units sold and weekly stock turnover.</t>
  </si>
  <si>
    <t>Sales Summary</t>
  </si>
  <si>
    <t>Pivot-style SUMIFS tables: sales by day and payment type, and by category.</t>
  </si>
  <si>
    <t>Weekly Report</t>
  </si>
  <si>
    <t>WEEKLY INVENTORY PERFORMANCE SUMMARY: KPIs, losses, movers, auto-generated observations and charts.</t>
  </si>
  <si>
    <t>COLOUR CODE</t>
  </si>
  <si>
    <t>Blue text on yellow</t>
  </si>
  <si>
    <t>Input cell: you type or paste here.</t>
  </si>
  <si>
    <t>Black text</t>
  </si>
  <si>
    <t>Formula: do not overwrite.</t>
  </si>
  <si>
    <t>HOW TO ADD DATA</t>
  </si>
  <si>
    <t>1. New transactions</t>
  </si>
  <si>
    <t>Add rows at the bottom of Transactions (up to row 1000). Enter date, product code, type, quantity, party and terms. Copy the formulas in columns D, E, J and K down from the row above.</t>
  </si>
  <si>
    <t>2. Next week</t>
  </si>
  <si>
    <t>Update Settings start date, then set new Opening Stock (last week’s physical count) and clear the Physical Count column on Register.</t>
  </si>
  <si>
    <t>3. Real PivotTable</t>
  </si>
  <si>
    <t>Select Transactions!A5:L(last row) &gt; Insert &gt; PivotTable. Suggested layout: Rows = Product Name, Columns = Txn Type, Values = Sum of Qty. This file uses SUMIFS tables instead because PivotTables cannot be generated programmatically here.</t>
  </si>
  <si>
    <t>KEY ASSUMPTIONS</t>
  </si>
  <si>
    <t>Valuation</t>
  </si>
  <si>
    <t>Purchases, supplier returns, damaged stock and variances are valued at unit cost. Sales and sales returns are valued at list selling price (no discounts modelled).</t>
  </si>
  <si>
    <t>Stock on hand</t>
  </si>
  <si>
    <t>Reorder Dashboard uses the physical count where entered, otherwise the book balance.</t>
  </si>
  <si>
    <t>Minimum stock</t>
  </si>
  <si>
    <t>Calculated as average daily sales × (supplier lead time + safety days). Type a figure in the Override column on Reorder Dashboard to set your own.</t>
  </si>
  <si>
    <t>Turnover</t>
  </si>
  <si>
    <t>Weekly turnover = units sold ÷ average of opening and closing stock. Annualised figure multiplies by 52 and is indicative only.</t>
  </si>
  <si>
    <t>Potential loss</t>
  </si>
  <si>
    <t>Stock shortages + damaged stock, both at cost. Overages are not netted off; supplier returns are excluded because they are recoverable by credit note.</t>
  </si>
  <si>
    <t>Classification</t>
  </si>
  <si>
    <t>Thresholds are set on Settings. They are practical starting points, not an industry standard. Tune them to your business.</t>
  </si>
  <si>
    <t>1. Sales and margin</t>
  </si>
  <si>
    <t>Gross sales (₦ at selling price)</t>
  </si>
  <si>
    <t xml:space="preserve">   Cash sales</t>
  </si>
  <si>
    <t xml:space="preserve">   Transfer sales</t>
  </si>
  <si>
    <t xml:space="preserve">   Credit sales (receivable)</t>
  </si>
  <si>
    <t>Sales returns (₦ at selling price)</t>
  </si>
  <si>
    <t>Cost of goods sold (net of returns)</t>
  </si>
  <si>
    <t>Net sales</t>
  </si>
  <si>
    <t>Gross margin (₦)</t>
  </si>
  <si>
    <t>Gross margin %</t>
  </si>
  <si>
    <t>2. Stock position</t>
  </si>
  <si>
    <t>Opening stock value</t>
  </si>
  <si>
    <t>Purchases received</t>
  </si>
  <si>
    <t>Closing stock value: book</t>
  </si>
  <si>
    <t>Closing stock value: physical count</t>
  </si>
  <si>
    <t>Stock availability (% of SKUs in stock)</t>
  </si>
  <si>
    <t>SKUs in stock-out</t>
  </si>
  <si>
    <t>SKUs at or below minimum (reorder now)</t>
  </si>
  <si>
    <t>SKUs approaching minimum</t>
  </si>
  <si>
    <t>Reorder requirement (₦ at cost)</t>
  </si>
  <si>
    <t>3. Control: variances and potential losses</t>
  </si>
  <si>
    <t>SKUs with a stock variance</t>
  </si>
  <si>
    <t>Stock record accuracy (% SKUs matching)</t>
  </si>
  <si>
    <t>Shortage value</t>
  </si>
  <si>
    <t>Overage value</t>
  </si>
  <si>
    <t>Net variance</t>
  </si>
  <si>
    <t>Damaged stock</t>
  </si>
  <si>
    <t>Supplier returns (recoverable by credit note; not a loss)</t>
  </si>
  <si>
    <t>Total potential loss (shortages + damaged)</t>
  </si>
  <si>
    <t>4. Fast and slow movers</t>
  </si>
  <si>
    <t>Top 5 by units sold</t>
  </si>
  <si>
    <t>Units Sold</t>
  </si>
  <si>
    <t>Weekly Turnover</t>
  </si>
  <si>
    <t>Slowest 5 by turnover</t>
  </si>
  <si>
    <t>5. Key observations (formula-driven from the figures above)</t>
  </si>
  <si>
    <t>Settings and Assumptions</t>
  </si>
  <si>
    <t>Edit blue cells only. Every sheet reads these values.</t>
  </si>
  <si>
    <t>Parameter</t>
  </si>
  <si>
    <t>Value</t>
  </si>
  <si>
    <t>Note / source</t>
  </si>
  <si>
    <t>Business name</t>
  </si>
  <si>
    <t>Eko Provisions Distribution Ltd (sample)</t>
  </si>
  <si>
    <t>Fictitious business name for the exercise</t>
  </si>
  <si>
    <t>Week start date (Monday)</t>
  </si>
  <si>
    <t>Assumption: reporting week 19 to 24 Oct 2026</t>
  </si>
  <si>
    <t>Trading days in week</t>
  </si>
  <si>
    <t>Assumption: Mon to Sat; Sunday closed</t>
  </si>
  <si>
    <t>Week end date</t>
  </si>
  <si>
    <t>Formula: start + trading days − 1</t>
  </si>
  <si>
    <t>Safety stock (days of sales)</t>
  </si>
  <si>
    <t>Assumption: buffer against late supplier deliveries</t>
  </si>
  <si>
    <t>Target stock cover when reordering (days)</t>
  </si>
  <si>
    <t>Assumption: order up to 14 days of average sales</t>
  </si>
  <si>
    <t>"Approaching" alert buffer above minimum</t>
  </si>
  <si>
    <t>Assumption: warn when stock is within 25% above minimum</t>
  </si>
  <si>
    <t>Variance tolerance (% of book balance)</t>
  </si>
  <si>
    <t>Assumption: variances at or above 5% of book balance are flagged HIGH</t>
  </si>
  <si>
    <t>High-priority variance value (₦ at cost)</t>
  </si>
  <si>
    <t>Assumption: variances at or above ₦20,000 are flagged HIGH</t>
  </si>
  <si>
    <t>Fast-moving: weekly turnover at or above</t>
  </si>
  <si>
    <t>Assumption: stock turns over at least once a week</t>
  </si>
  <si>
    <t>Slow-moving: weekly turnover below</t>
  </si>
  <si>
    <t>Assumption: more than two weeks of stock on hand</t>
  </si>
  <si>
    <t>Product Master</t>
  </si>
  <si>
    <t>Rows 6 to 60 are read by other sheets. Prices are illustrative (sample data).</t>
  </si>
  <si>
    <t>Product Code</t>
  </si>
  <si>
    <t>Product Name</t>
  </si>
  <si>
    <t>Category</t>
  </si>
  <si>
    <t>Supplier</t>
  </si>
  <si>
    <t>Pack Unit</t>
  </si>
  <si>
    <t>Unit Cost (₦)</t>
  </si>
  <si>
    <t>Selling Price (₦)</t>
  </si>
  <si>
    <t>Supplier Lead Time (days)</t>
  </si>
  <si>
    <t>BEV001</t>
  </si>
  <si>
    <t>Cola Soft Drink 50cl PET</t>
  </si>
  <si>
    <t>Beverages</t>
  </si>
  <si>
    <t>Apapa Beverages Depot</t>
  </si>
  <si>
    <t>Carton of 12</t>
  </si>
  <si>
    <t>BEV002</t>
  </si>
  <si>
    <t>Orange Soft Drink 50cl PET</t>
  </si>
  <si>
    <t>BEV003</t>
  </si>
  <si>
    <t>Table Water 75cl</t>
  </si>
  <si>
    <t>Pack of 12</t>
  </si>
  <si>
    <t>BEV004</t>
  </si>
  <si>
    <t>Malt Drink 33cl Can</t>
  </si>
  <si>
    <t>Carton of 24</t>
  </si>
  <si>
    <t>NDL001</t>
  </si>
  <si>
    <t>Instant Noodles Chicken 70g</t>
  </si>
  <si>
    <t>Noodles &amp; Pasta</t>
  </si>
  <si>
    <t>Mushin Noodles &amp; Foods Ltd</t>
  </si>
  <si>
    <t>Carton of 40</t>
  </si>
  <si>
    <t>NDL002</t>
  </si>
  <si>
    <t>Instant Noodles Onion 70g</t>
  </si>
  <si>
    <t>NDL003</t>
  </si>
  <si>
    <t>Spaghetti 500g</t>
  </si>
  <si>
    <t>Carton of 20</t>
  </si>
  <si>
    <t>OIL001</t>
  </si>
  <si>
    <t>Vegetable Oil 5L</t>
  </si>
  <si>
    <t>Cooking Oil</t>
  </si>
  <si>
    <t>Ikorodu Oil Mills (Agent)</t>
  </si>
  <si>
    <t>Carton of 4</t>
  </si>
  <si>
    <t>OIL002</t>
  </si>
  <si>
    <t>Vegetable Oil 1L</t>
  </si>
  <si>
    <t>DET001</t>
  </si>
  <si>
    <t>Detergent Powder 900g</t>
  </si>
  <si>
    <t>Home Care</t>
  </si>
  <si>
    <t>Oshodi Home Care Supplies</t>
  </si>
  <si>
    <t>DET002</t>
  </si>
  <si>
    <t>Detergent Powder 400g</t>
  </si>
  <si>
    <t>DET003</t>
  </si>
  <si>
    <t>Laundry Bar Soap</t>
  </si>
  <si>
    <t>FDS001</t>
  </si>
  <si>
    <t>Evaporated Milk 160g Tin</t>
  </si>
  <si>
    <t>Packaged Food</t>
  </si>
  <si>
    <t>Idumota Dry Goods Traders</t>
  </si>
  <si>
    <t>Carton of 48</t>
  </si>
  <si>
    <t>FDS002</t>
  </si>
  <si>
    <t>Tomato Paste 70g Sachet</t>
  </si>
  <si>
    <t>Carton of 50</t>
  </si>
  <si>
    <t>FDS003</t>
  </si>
  <si>
    <t>Seasoning Cubes</t>
  </si>
  <si>
    <t>FDS004</t>
  </si>
  <si>
    <t>Granulated Sugar 500g</t>
  </si>
  <si>
    <t>FDS005</t>
  </si>
  <si>
    <t>Table Salt 500g</t>
  </si>
  <si>
    <t>FDS006</t>
  </si>
  <si>
    <t>Cocoa Beverage Powder 400g</t>
  </si>
  <si>
    <t>Daily Stock Movements</t>
  </si>
  <si>
    <t>Type must be: Purchase, Sale, Sales Return, Supplier Return or Damaged. Quantities are always positive; the Register applies the sign.</t>
  </si>
  <si>
    <t>Add new rows below the last line (to row 1000) and copy formulas in columns D, E, J, K down. Sale lines need Terms (Cash / Transfer / Credit).</t>
  </si>
  <si>
    <t>Date</t>
  </si>
  <si>
    <t>Txn Ref</t>
  </si>
  <si>
    <t>Txn Type</t>
  </si>
  <si>
    <t>Qty (cartons)</t>
  </si>
  <si>
    <t>Customer / Supplier</t>
  </si>
  <si>
    <t>Terms</t>
  </si>
  <si>
    <t>Unit Value (₦)</t>
  </si>
  <si>
    <t>Value (₦)</t>
  </si>
  <si>
    <t>Remarks</t>
  </si>
  <si>
    <t>TX-0001</t>
  </si>
  <si>
    <t>Purchase</t>
  </si>
  <si>
    <t>Credit</t>
  </si>
  <si>
    <t>Delivery note DN-2535</t>
  </si>
  <si>
    <t>TX-0002</t>
  </si>
  <si>
    <t>Delivery note DN-2300</t>
  </si>
  <si>
    <t>TX-0003</t>
  </si>
  <si>
    <t>Cash</t>
  </si>
  <si>
    <t>Delivery note DN-2426</t>
  </si>
  <si>
    <t>TX-0004</t>
  </si>
  <si>
    <t>Delivery note DN-2256</t>
  </si>
  <si>
    <t>TX-0005</t>
  </si>
  <si>
    <t>Delivery note DN-2660</t>
  </si>
  <si>
    <t>TX-0006</t>
  </si>
  <si>
    <t>Delivery note DN-2104</t>
  </si>
  <si>
    <t>TX-0007</t>
  </si>
  <si>
    <t>Delivery note DN-2301</t>
  </si>
  <si>
    <t>TX-0008</t>
  </si>
  <si>
    <t>Delivery note DN-2600</t>
  </si>
  <si>
    <t>TX-0009</t>
  </si>
  <si>
    <t>Delivery note DN-2258</t>
  </si>
  <si>
    <t>TX-0010</t>
  </si>
  <si>
    <t>Sale</t>
  </si>
  <si>
    <t>Sunrise Supermarket, Yaba</t>
  </si>
  <si>
    <t>TX-0011</t>
  </si>
  <si>
    <t>Madam Ngozi Shop, Oshodi</t>
  </si>
  <si>
    <t>TX-0012</t>
  </si>
  <si>
    <t>Alhaji Bello Stores, Idumota</t>
  </si>
  <si>
    <t>Transfer</t>
  </si>
  <si>
    <t>TX-0013</t>
  </si>
  <si>
    <t>TX-0014</t>
  </si>
  <si>
    <t>TX-0015</t>
  </si>
  <si>
    <t>TX-0016</t>
  </si>
  <si>
    <t>Ebenezer Provision Store, Ajegunle</t>
  </si>
  <si>
    <t>TX-0017</t>
  </si>
  <si>
    <t>TX-0018</t>
  </si>
  <si>
    <t>TX-0019</t>
  </si>
  <si>
    <t>Oluwaseun Mini-Mart, Surulere</t>
  </si>
  <si>
    <t>TX-0020</t>
  </si>
  <si>
    <t>Mama Chidi Provisions, Mushin</t>
  </si>
  <si>
    <t>TX-0021</t>
  </si>
  <si>
    <t>Greenfield Supermarket, Ikeja</t>
  </si>
  <si>
    <t>TX-0022</t>
  </si>
  <si>
    <t>TX-0023</t>
  </si>
  <si>
    <t>TX-0024</t>
  </si>
  <si>
    <t>TX-0025</t>
  </si>
  <si>
    <t>TX-0026</t>
  </si>
  <si>
    <t>TX-0027</t>
  </si>
  <si>
    <t>TX-0028</t>
  </si>
  <si>
    <t>Balogun Market Stall 14, Lagos Island</t>
  </si>
  <si>
    <t>TX-0029</t>
  </si>
  <si>
    <t>TX-0030</t>
  </si>
  <si>
    <t>TX-0031</t>
  </si>
  <si>
    <t>TX-0032</t>
  </si>
  <si>
    <t>TX-0033</t>
  </si>
  <si>
    <t>TX-0034</t>
  </si>
  <si>
    <t>TX-0035</t>
  </si>
  <si>
    <t>TX-0036</t>
  </si>
  <si>
    <t>TX-0037</t>
  </si>
  <si>
    <t>TX-0038</t>
  </si>
  <si>
    <t>TX-0039</t>
  </si>
  <si>
    <t>TX-0040</t>
  </si>
  <si>
    <t>TX-0041</t>
  </si>
  <si>
    <t>TX-0042</t>
  </si>
  <si>
    <t>TX-0043</t>
  </si>
  <si>
    <t>Damaged</t>
  </si>
  <si>
    <t>Warehouse</t>
  </si>
  <si>
    <t>Broken bottles during offloading</t>
  </si>
  <si>
    <t>TX-0044</t>
  </si>
  <si>
    <t>Sales Return</t>
  </si>
  <si>
    <t>Wrong variant delivered</t>
  </si>
  <si>
    <t>TX-0045</t>
  </si>
  <si>
    <t>TX-0046</t>
  </si>
  <si>
    <t>TX-0047</t>
  </si>
  <si>
    <t>TX-0048</t>
  </si>
  <si>
    <t>TX-0049</t>
  </si>
  <si>
    <t>TX-0050</t>
  </si>
  <si>
    <t>TX-0051</t>
  </si>
  <si>
    <t>TX-0052</t>
  </si>
  <si>
    <t>TX-0053</t>
  </si>
  <si>
    <t>TX-0054</t>
  </si>
  <si>
    <t>TX-0055</t>
  </si>
  <si>
    <t>TX-0056</t>
  </si>
  <si>
    <t>TX-0057</t>
  </si>
  <si>
    <t>TX-0058</t>
  </si>
  <si>
    <t>TX-0059</t>
  </si>
  <si>
    <t>TX-0060</t>
  </si>
  <si>
    <t>TX-0061</t>
  </si>
  <si>
    <t>TX-0062</t>
  </si>
  <si>
    <t>TX-0063</t>
  </si>
  <si>
    <t>TX-0064</t>
  </si>
  <si>
    <t>TX-0065</t>
  </si>
  <si>
    <t>TX-0066</t>
  </si>
  <si>
    <t>TX-0067</t>
  </si>
  <si>
    <t>TX-0068</t>
  </si>
  <si>
    <t>TX-0069</t>
  </si>
  <si>
    <t>TX-0070</t>
  </si>
  <si>
    <t>TX-0071</t>
  </si>
  <si>
    <t>TX-0072</t>
  </si>
  <si>
    <t>Supplier Return</t>
  </si>
  <si>
    <t>Wrong brand supplied</t>
  </si>
  <si>
    <t>TX-0073</t>
  </si>
  <si>
    <t>Torn packs</t>
  </si>
  <si>
    <t>TX-0074</t>
  </si>
  <si>
    <t>Delivery note DN-2165</t>
  </si>
  <si>
    <t>TX-0075</t>
  </si>
  <si>
    <t>Delivery note DN-2655</t>
  </si>
  <si>
    <t>TX-0076</t>
  </si>
  <si>
    <t>Delivery note DN-2325</t>
  </si>
  <si>
    <t>TX-0077</t>
  </si>
  <si>
    <t>Torn sachets</t>
  </si>
  <si>
    <t>TX-0078</t>
  </si>
  <si>
    <t>Customer returned: short-dated cartons</t>
  </si>
  <si>
    <t>TX-0079</t>
  </si>
  <si>
    <t>TX-0080</t>
  </si>
  <si>
    <t>TX-0081</t>
  </si>
  <si>
    <t>TX-0082</t>
  </si>
  <si>
    <t>TX-0083</t>
  </si>
  <si>
    <t>TX-0084</t>
  </si>
  <si>
    <t>TX-0085</t>
  </si>
  <si>
    <t>TX-0086</t>
  </si>
  <si>
    <t>TX-0087</t>
  </si>
  <si>
    <t>TX-0088</t>
  </si>
  <si>
    <t>TX-0089</t>
  </si>
  <si>
    <t>TX-0090</t>
  </si>
  <si>
    <t>TX-0091</t>
  </si>
  <si>
    <t>TX-0092</t>
  </si>
  <si>
    <t>TX-0093</t>
  </si>
  <si>
    <t>TX-0094</t>
  </si>
  <si>
    <t>TX-0095</t>
  </si>
  <si>
    <t>TX-0096</t>
  </si>
  <si>
    <t>Water damage in store</t>
  </si>
  <si>
    <t>TX-0097</t>
  </si>
  <si>
    <t>Short-dated batch returned to supplier</t>
  </si>
  <si>
    <t>TX-0098</t>
  </si>
  <si>
    <t>Dented tins</t>
  </si>
  <si>
    <t>TX-0099</t>
  </si>
  <si>
    <t>Leaking 5L container</t>
  </si>
  <si>
    <t>TX-0100</t>
  </si>
  <si>
    <t>TX-0101</t>
  </si>
  <si>
    <t>TX-0102</t>
  </si>
  <si>
    <t>TX-0103</t>
  </si>
  <si>
    <t>TX-0104</t>
  </si>
  <si>
    <t>TX-0105</t>
  </si>
  <si>
    <t>TX-0106</t>
  </si>
  <si>
    <t>TX-0107</t>
  </si>
  <si>
    <t>TX-0108</t>
  </si>
  <si>
    <t>TX-0109</t>
  </si>
  <si>
    <t>TX-0110</t>
  </si>
  <si>
    <t>TX-0111</t>
  </si>
  <si>
    <t>TX-0112</t>
  </si>
  <si>
    <t>TX-0113</t>
  </si>
  <si>
    <t>TX-0114</t>
  </si>
  <si>
    <t>TX-0115</t>
  </si>
  <si>
    <t>TX-0116</t>
  </si>
  <si>
    <t>TX-0117</t>
  </si>
  <si>
    <t>TX-0118</t>
  </si>
  <si>
    <t>TX-0119</t>
  </si>
  <si>
    <t>TX-0120</t>
  </si>
  <si>
    <t>TX-0121</t>
  </si>
  <si>
    <t>TX-0122</t>
  </si>
  <si>
    <t>TX-0123</t>
  </si>
  <si>
    <t>TX-0124</t>
  </si>
  <si>
    <t>TX-0125</t>
  </si>
  <si>
    <t>TX-0126</t>
  </si>
  <si>
    <t>TX-0127</t>
  </si>
  <si>
    <t>TX-0128</t>
  </si>
  <si>
    <t>TX-0129</t>
  </si>
  <si>
    <t>TX-0130</t>
  </si>
  <si>
    <t>Crushed cartons in stacking</t>
  </si>
  <si>
    <t>TX-0131</t>
  </si>
  <si>
    <t>Unsold stock returned by retailer</t>
  </si>
  <si>
    <t>TX-0132</t>
  </si>
  <si>
    <t>TX-0133</t>
  </si>
  <si>
    <t>TX-0134</t>
  </si>
  <si>
    <t>TX-0135</t>
  </si>
  <si>
    <t>TX-0136</t>
  </si>
  <si>
    <t>TX-0137</t>
  </si>
  <si>
    <t>TX-0138</t>
  </si>
  <si>
    <t>TX-0139</t>
  </si>
  <si>
    <t>TX-0140</t>
  </si>
  <si>
    <t>TX-0141</t>
  </si>
  <si>
    <t>TX-0142</t>
  </si>
  <si>
    <t>TX-0143</t>
  </si>
  <si>
    <t>TX-0144</t>
  </si>
  <si>
    <t>TX-0145</t>
  </si>
  <si>
    <t>TX-0146</t>
  </si>
  <si>
    <t>TX-0147</t>
  </si>
  <si>
    <t>TX-0148</t>
  </si>
  <si>
    <t>TX-0149</t>
  </si>
  <si>
    <t>TX-0150</t>
  </si>
  <si>
    <t>TX-0151</t>
  </si>
  <si>
    <t>TX-0152</t>
  </si>
  <si>
    <t>TX-0153</t>
  </si>
  <si>
    <t>TX-0154</t>
  </si>
  <si>
    <t>TX-0155</t>
  </si>
  <si>
    <t>TX-0156</t>
  </si>
  <si>
    <t>TX-0157</t>
  </si>
  <si>
    <t>TX-0158</t>
  </si>
  <si>
    <t>TX-0159</t>
  </si>
  <si>
    <t>TX-0160</t>
  </si>
  <si>
    <t>TX-0161</t>
  </si>
  <si>
    <t>TX-0162</t>
  </si>
  <si>
    <t>TX-0163</t>
  </si>
  <si>
    <t>TX-0164</t>
  </si>
  <si>
    <t>TX-0165</t>
  </si>
  <si>
    <t>Dented tins, credit note requested</t>
  </si>
  <si>
    <t>TX-0166</t>
  </si>
  <si>
    <t>Leaking bottles</t>
  </si>
  <si>
    <t>TX-0167</t>
  </si>
  <si>
    <t>Wrong pack size delivered</t>
  </si>
  <si>
    <t>TX-0168</t>
  </si>
  <si>
    <t>TX-0169</t>
  </si>
  <si>
    <t>TX-0170</t>
  </si>
  <si>
    <t>TX-0171</t>
  </si>
  <si>
    <t>TX-0172</t>
  </si>
  <si>
    <t>TX-0173</t>
  </si>
  <si>
    <t>TX-0174</t>
  </si>
  <si>
    <t>TX-0175</t>
  </si>
  <si>
    <t>TX-0176</t>
  </si>
  <si>
    <t>TX-0177</t>
  </si>
  <si>
    <t>TX-0178</t>
  </si>
  <si>
    <t>TX-0179</t>
  </si>
  <si>
    <t>TX-0180</t>
  </si>
  <si>
    <t>TX-0181</t>
  </si>
  <si>
    <t>TX-0182</t>
  </si>
  <si>
    <t>TX-0183</t>
  </si>
  <si>
    <t>TX-0184</t>
  </si>
  <si>
    <t>TX-0185</t>
  </si>
  <si>
    <t>TX-0186</t>
  </si>
  <si>
    <t>TX-0187</t>
  </si>
  <si>
    <t>TX-0188</t>
  </si>
  <si>
    <t>TX-0189</t>
  </si>
  <si>
    <t>TX-0190</t>
  </si>
  <si>
    <t>TX-0191</t>
  </si>
  <si>
    <t>TX-0192</t>
  </si>
  <si>
    <t>TX-0193</t>
  </si>
  <si>
    <t>TX-0194</t>
  </si>
  <si>
    <t>TX-0195</t>
  </si>
  <si>
    <t>TX-0196</t>
  </si>
  <si>
    <t>TX-0197</t>
  </si>
  <si>
    <t>TX-0198</t>
  </si>
  <si>
    <t>TX-0199</t>
  </si>
  <si>
    <t>TX-0200</t>
  </si>
  <si>
    <t>TX-0201</t>
  </si>
  <si>
    <t>TX-0202</t>
  </si>
  <si>
    <t>TX-0203</t>
  </si>
  <si>
    <t>Wet bag, spoilt</t>
  </si>
  <si>
    <t>Inventory Register</t>
  </si>
  <si>
    <t>Expected Closing = Opening + Stock Received + Sales Returns − Units Sold − Supplier Returns − Damaged.  Blue cells: enter opening stock and physical count.</t>
  </si>
  <si>
    <t>Opening Stock</t>
  </si>
  <si>
    <t>Stock Received (Purchases)</t>
  </si>
  <si>
    <t>Sales Returns</t>
  </si>
  <si>
    <t>Supplier Returns</t>
  </si>
  <si>
    <t>Damaged Stock</t>
  </si>
  <si>
    <t>Expected Closing (Book)</t>
  </si>
  <si>
    <t>Physical Count</t>
  </si>
  <si>
    <t>Variance (units)</t>
  </si>
  <si>
    <t>Variance Value (₦)</t>
  </si>
  <si>
    <t>Variance %</t>
  </si>
  <si>
    <t>Count Status</t>
  </si>
  <si>
    <t>TOTAL</t>
  </si>
  <si>
    <t>Reorder Alert Dashboard</t>
  </si>
  <si>
    <t>Stock on hand uses the physical count where entered. Minimum = average daily sales × (lead time + safety days). Blue Override cells let you set your own minimum.</t>
  </si>
  <si>
    <t>STOCK-OUT</t>
  </si>
  <si>
    <t>REORDER NOW</t>
  </si>
  <si>
    <t>APPROACHING</t>
  </si>
  <si>
    <t>OK</t>
  </si>
  <si>
    <t>Est. reorder value (₦)</t>
  </si>
  <si>
    <t>Lead Time (days)</t>
  </si>
  <si>
    <t>Stock on Hand</t>
  </si>
  <si>
    <t>Avg Daily Sales</t>
  </si>
  <si>
    <t>Days of Cover</t>
  </si>
  <si>
    <t>Calculated Minimum</t>
  </si>
  <si>
    <t>Minimum Override</t>
  </si>
  <si>
    <t>Effective Minimum</t>
  </si>
  <si>
    <t>Alert</t>
  </si>
  <si>
    <t>Suggested Order Qty</t>
  </si>
  <si>
    <t>Est. Order Value (₦)</t>
  </si>
  <si>
    <t>Stock Level Bar</t>
  </si>
  <si>
    <t>Supplier order summary (SKUs flagged STOCK-OUT or REORDER NOW)</t>
  </si>
  <si>
    <t>SKUs to Order</t>
  </si>
  <si>
    <t>Order Value (₦)</t>
  </si>
  <si>
    <t>Stock Reconciliation Report</t>
  </si>
  <si>
    <t>Book balance (from the Register) compared with the physical count. Variance = Physical − Book. Shortages are negative.</t>
  </si>
  <si>
    <t>SKUs counted</t>
  </si>
  <si>
    <t>Shortage value (₦ at cost)</t>
  </si>
  <si>
    <t>SKUs matching</t>
  </si>
  <si>
    <t>Overage value (₦ at cost)</t>
  </si>
  <si>
    <t>SKUs with shortage</t>
  </si>
  <si>
    <t>Net variance (₦ at cost)</t>
  </si>
  <si>
    <t>SKUs with overage</t>
  </si>
  <si>
    <t>Damaged stock (₦ at cost)</t>
  </si>
  <si>
    <t>Potential loss: shortages + damaged (₦)</t>
  </si>
  <si>
    <t>HIGH-priority variances</t>
  </si>
  <si>
    <t>Potential loss as % of net sales</t>
  </si>
  <si>
    <t>Book Balance</t>
  </si>
  <si>
    <t>Result</t>
  </si>
  <si>
    <t>Priority</t>
  </si>
  <si>
    <t>Investigation Note (sample)</t>
  </si>
  <si>
    <t>Suspected unrecorded cash sale on Saturday; check van loading sheet.</t>
  </si>
  <si>
    <t>Pack damage may not have been logged at offloading; confirm with storekeeper.</t>
  </si>
  <si>
    <t>Possible bonus cartons given to customers without paperwork.</t>
  </si>
  <si>
    <t>Overage: supplier delivery may include extra cartons; verify delivery note.</t>
  </si>
  <si>
    <t>Inspect 5L stack for leakage or pilferage; recount.</t>
  </si>
  <si>
    <t>Overage: possible unrecorded customer return.</t>
  </si>
  <si>
    <t>Suspected counting error; recount before adjusting book.</t>
  </si>
  <si>
    <t>Fast-Moving and Slow-Moving Product Analysis</t>
  </si>
  <si>
    <t>Ranked by units sold. Row order reflects the sample week; use the Rank column if data changes. Thresholds are on Settings.</t>
  </si>
  <si>
    <t>Sales Rank</t>
  </si>
  <si>
    <t>Share of Units Sold</t>
  </si>
  <si>
    <t>Sales Value (₦)</t>
  </si>
  <si>
    <t>Average Stock</t>
  </si>
  <si>
    <t>Weekly Turnover (x)</t>
  </si>
  <si>
    <t>Annualised Turns (x)</t>
  </si>
  <si>
    <t>Days of Stock on Hand</t>
  </si>
  <si>
    <t>Turnover Rank (1 = slowest)</t>
  </si>
  <si>
    <t>Classification count</t>
  </si>
  <si>
    <t>Fast-moving</t>
  </si>
  <si>
    <t>Medium</t>
  </si>
  <si>
    <t>Slow-moving</t>
  </si>
  <si>
    <t>Sales Summary (pivot-style SUMIFS tables)</t>
  </si>
  <si>
    <t>Sales are valued at list price. Sales Returns are shown separately and deducted to give net sales.</t>
  </si>
  <si>
    <t>Day</t>
  </si>
  <si>
    <t>Sale Lines</t>
  </si>
  <si>
    <t>Cartons Sold</t>
  </si>
  <si>
    <t>Cash Sales (₦)</t>
  </si>
  <si>
    <t>Transfer Sales (₦)</t>
  </si>
  <si>
    <t>Credit Sales (₦)</t>
  </si>
  <si>
    <t>Gross Sales (₦)</t>
  </si>
  <si>
    <t>Sales Returns (₦)</t>
  </si>
  <si>
    <t>Net Sales (₦)</t>
  </si>
  <si>
    <t>Check: cash + transfer + credit equals gross sales (difference should be 0, otherwise a Sale line is missing its Terms)</t>
  </si>
  <si>
    <t>Sales by category</t>
  </si>
  <si>
    <t>Share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</si>
</sst>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\₦#,##0;[Red]&quot;-₦&quot;#,##0;\-"/>
    <numFmt numFmtId="165" formatCode="0.0%"/>
    <numFmt numFmtId="166" formatCode="0.0%&quot; of net sales&quot;"/>
    <numFmt numFmtId="167" formatCode="dd\-mmm\-yyyy"/>
    <numFmt numFmtId="168" formatCode="#,##0;[Red]\-#,##0;0"/>
    <numFmt numFmtId="169" formatCode="0.0%;[Red]\-0.0%;0.0%"/>
    <numFmt numFmtId="170" formatCode="0.0"/>
  </numFmts>
  <fonts count="2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4E78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6"/>
      <color rgb="FF000000"/>
      <name val="Arial"/>
      <charset val="1"/>
    </font>
    <font>
      <b/>
      <sz val="12"/>
      <color rgb="FF000000"/>
      <name val="Arial"/>
      <charset val="1"/>
    </font>
    <font>
      <i/>
      <sz val="10"/>
      <color rgb="FF000000"/>
      <name val="Arial"/>
      <charset val="1"/>
    </font>
    <font>
      <b/>
      <sz val="14"/>
      <color rgb="FF1F4E78"/>
      <name val="Times New Roman"/>
      <family val="1"/>
    </font>
    <font>
      <sz val="11"/>
      <color theme="1"/>
      <name val="Times New Roman"/>
      <family val="1"/>
    </font>
    <font>
      <i/>
      <sz val="10"/>
      <color rgb="FF595959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9C0006"/>
      <name val="Times New Roman"/>
      <family val="1"/>
    </font>
    <font>
      <b/>
      <sz val="10"/>
      <color rgb="FF1F4E78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FFFF"/>
      <name val="Times New Roman"/>
      <family val="1"/>
    </font>
    <font>
      <sz val="10"/>
      <color rgb="FF0000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8080"/>
      </patternFill>
    </fill>
    <fill>
      <patternFill patternType="solid">
        <fgColor rgb="FFBF9000"/>
        <bgColor rgb="FFED7D31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3" fontId="3" fillId="0" borderId="1" xfId="0" applyNumberFormat="1" applyFont="1" applyBorder="1" applyAlignment="1">
      <alignment vertical="center"/>
    </xf>
    <xf numFmtId="168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9" fontId="4" fillId="0" borderId="1" xfId="0" applyNumberFormat="1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168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right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8" fillId="3" borderId="0" xfId="0" applyFont="1" applyFill="1" applyAlignment="1">
      <alignment vertical="top"/>
    </xf>
    <xf numFmtId="0" fontId="15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" fontId="15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19" fillId="4" borderId="1" xfId="0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vertical="top" wrapText="1"/>
    </xf>
    <xf numFmtId="0" fontId="20" fillId="3" borderId="1" xfId="0" applyFont="1" applyFill="1" applyBorder="1" applyAlignment="1">
      <alignment horizontal="right" vertical="center"/>
    </xf>
    <xf numFmtId="167" fontId="20" fillId="3" borderId="1" xfId="0" applyNumberFormat="1" applyFont="1" applyFill="1" applyBorder="1" applyAlignment="1">
      <alignment horizontal="right" vertical="center"/>
    </xf>
    <xf numFmtId="1" fontId="20" fillId="3" borderId="1" xfId="0" applyNumberFormat="1" applyFont="1" applyFill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9" fontId="20" fillId="3" borderId="1" xfId="0" applyNumberFormat="1" applyFont="1" applyFill="1" applyBorder="1" applyAlignment="1">
      <alignment horizontal="right" vertical="center"/>
    </xf>
    <xf numFmtId="165" fontId="20" fillId="3" borderId="1" xfId="0" applyNumberFormat="1" applyFont="1" applyFill="1" applyBorder="1" applyAlignment="1">
      <alignment horizontal="right" vertical="center"/>
    </xf>
    <xf numFmtId="3" fontId="20" fillId="3" borderId="1" xfId="0" applyNumberFormat="1" applyFont="1" applyFill="1" applyBorder="1" applyAlignment="1">
      <alignment horizontal="right" vertical="center"/>
    </xf>
    <xf numFmtId="2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vertical="center"/>
    </xf>
    <xf numFmtId="3" fontId="20" fillId="3" borderId="1" xfId="0" applyNumberFormat="1" applyFont="1" applyFill="1" applyBorder="1" applyAlignment="1">
      <alignment vertical="center"/>
    </xf>
    <xf numFmtId="1" fontId="20" fillId="3" borderId="1" xfId="0" applyNumberFormat="1" applyFont="1" applyFill="1" applyBorder="1" applyAlignment="1">
      <alignment horizontal="center" vertical="center"/>
    </xf>
    <xf numFmtId="167" fontId="20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vertical="center"/>
    </xf>
  </cellXfs>
  <cellStyles count="1">
    <cellStyle name="Normal" xfId="0" builtinId="0"/>
  </cellStyles>
  <dxfs count="24"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1F4E78"/>
        <name val="Arial"/>
      </font>
      <fill>
        <patternFill>
          <bgColor rgb="FFDDEBF7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color rgb="FF548235"/>
        <name val="Arial"/>
      </font>
    </dxf>
    <dxf>
      <font>
        <color rgb="FFBF9000"/>
        <name val="Arial"/>
      </font>
    </dxf>
    <dxf>
      <font>
        <color rgb="FFED7D31"/>
        <name val="Arial"/>
      </font>
    </dxf>
    <dxf>
      <font>
        <color rgb="FFC00000"/>
        <name val="Arial"/>
      </font>
    </dxf>
    <dxf>
      <font>
        <b/>
        <color rgb="FFFFFFFF"/>
        <name val="Arial"/>
      </font>
      <fill>
        <patternFill>
          <bgColor rgb="FF548235"/>
        </patternFill>
      </fill>
    </dxf>
    <dxf>
      <font>
        <b/>
        <color rgb="FFFFFFFF"/>
        <name val="Arial"/>
      </font>
      <fill>
        <patternFill>
          <bgColor rgb="FFBF9000"/>
        </patternFill>
      </fill>
    </dxf>
    <dxf>
      <font>
        <b/>
        <color rgb="FFFFFFFF"/>
        <name val="Arial"/>
      </font>
      <fill>
        <patternFill>
          <bgColor rgb="FFED7D31"/>
        </patternFill>
      </fill>
    </dxf>
    <dxf>
      <font>
        <b/>
        <color rgb="FFFFFFFF"/>
        <name val="Arial"/>
      </font>
      <fill>
        <patternFill>
          <bgColor rgb="FFC00000"/>
        </patternFill>
      </fill>
    </dxf>
    <dxf>
      <font>
        <b/>
        <color rgb="FF1F4E78"/>
        <name val="Arial"/>
      </font>
      <fill>
        <patternFill>
          <bgColor rgb="FFDDEBF7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F99CC"/>
      <rgbColor rgb="FFCC99FF"/>
      <rgbColor rgb="FFFFC7CE"/>
      <rgbColor rgb="FF4F81BD"/>
      <rgbColor rgb="FF33CCCC"/>
      <rgbColor rgb="FF99CC00"/>
      <rgbColor rgb="FFFFCC00"/>
      <rgbColor rgb="FFBF9000"/>
      <rgbColor rgb="FFED7D31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sales by day (₦)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Summary'!$J$5</c:f>
              <c:strCache>
                <c:ptCount val="1"/>
                <c:pt idx="0">
                  <c:v>Net Sales (₦)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Summary'!$B$6:$B$11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</c:strCache>
            </c:strRef>
          </c:cat>
          <c:val>
            <c:numRef>
              <c:f>'Sales Summary'!$J$6:$J$11</c:f>
              <c:numCache>
                <c:formatCode>\₦#,##0;[Red]"-₦"#,##0;\-</c:formatCode>
                <c:ptCount val="6"/>
                <c:pt idx="0">
                  <c:v>906900</c:v>
                </c:pt>
                <c:pt idx="1">
                  <c:v>821500</c:v>
                </c:pt>
                <c:pt idx="2">
                  <c:v>706000</c:v>
                </c:pt>
                <c:pt idx="3">
                  <c:v>1018000</c:v>
                </c:pt>
                <c:pt idx="4">
                  <c:v>1117900</c:v>
                </c:pt>
                <c:pt idx="5">
                  <c:v>1879500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F-414F-AA7C-5D49AD4D2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9758"/>
        <c:axId val="93874262"/>
      </c:barChart>
      <c:catAx>
        <c:axId val="23709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874262"/>
        <c:crosses val="autoZero"/>
        <c:auto val="1"/>
        <c:lblAlgn val="ctr"/>
        <c:lblOffset val="100"/>
        <c:noMultiLvlLbl val="0"/>
      </c:catAx>
      <c:valAx>
        <c:axId val="93874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097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value by category (₦)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Summary'!$D$16</c:f>
              <c:strCache>
                <c:ptCount val="1"/>
                <c:pt idx="0">
                  <c:v>Sales Value (₦)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Summary'!$A$17:$A$21</c:f>
              <c:strCache>
                <c:ptCount val="5"/>
                <c:pt idx="0">
                  <c:v>Beverages</c:v>
                </c:pt>
                <c:pt idx="1">
                  <c:v>Noodles &amp; Pasta</c:v>
                </c:pt>
                <c:pt idx="2">
                  <c:v>Cooking Oil</c:v>
                </c:pt>
                <c:pt idx="3">
                  <c:v>Home Care</c:v>
                </c:pt>
                <c:pt idx="4">
                  <c:v>Packaged Food</c:v>
                </c:pt>
              </c:strCache>
            </c:strRef>
          </c:cat>
          <c:val>
            <c:numRef>
              <c:f>'Sales Summary'!$D$17:$D$21</c:f>
              <c:numCache>
                <c:formatCode>\₦#,##0;[Red]"-₦"#,##0;\-</c:formatCode>
                <c:ptCount val="5"/>
                <c:pt idx="0">
                  <c:v>868200</c:v>
                </c:pt>
                <c:pt idx="1">
                  <c:v>1368600</c:v>
                </c:pt>
                <c:pt idx="2">
                  <c:v>1386000</c:v>
                </c:pt>
                <c:pt idx="3">
                  <c:v>937400</c:v>
                </c:pt>
                <c:pt idx="4">
                  <c:v>2028700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8-4423-90B4-B4E8D1AF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07017"/>
        <c:axId val="41871117"/>
      </c:barChart>
      <c:catAx>
        <c:axId val="8900701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71117"/>
        <c:crosses val="autoZero"/>
        <c:auto val="1"/>
        <c:lblAlgn val="ctr"/>
        <c:lblOffset val="100"/>
        <c:noMultiLvlLbl val="0"/>
      </c:catAx>
      <c:valAx>
        <c:axId val="4187111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07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Reorder alert status (number of 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'Reorder Dashboard'!$A$4:$D$4</c:f>
              <c:strCache>
                <c:ptCount val="4"/>
                <c:pt idx="0">
                  <c:v>STOCK-OUT</c:v>
                </c:pt>
                <c:pt idx="1">
                  <c:v>REORDER NOW</c:v>
                </c:pt>
                <c:pt idx="2">
                  <c:v>APPROACHING</c:v>
                </c:pt>
                <c:pt idx="3">
                  <c:v>OK</c:v>
                </c:pt>
              </c:strCache>
            </c:strRef>
          </c:cat>
          <c:val>
            <c:numRef>
              <c:f>'Reorder Dashboard'!$A$5:$D$5</c:f>
              <c:numCache>
                <c:formatCode>0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C-41DF-B1F5-2E3AA07B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44731"/>
        <c:axId val="41242913"/>
      </c:barChart>
      <c:catAx>
        <c:axId val="47244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42913"/>
        <c:crosses val="autoZero"/>
        <c:auto val="1"/>
        <c:lblAlgn val="ctr"/>
        <c:lblOffset val="100"/>
        <c:noMultiLvlLbl val="0"/>
      </c:catAx>
      <c:valAx>
        <c:axId val="41242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44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Stock on hand vs effective minimum (cartons)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'Reorder Dashboard'!$E$8</c:f>
              <c:strCache>
                <c:ptCount val="1"/>
                <c:pt idx="0">
                  <c:v>Stock on Hand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'Reorder Dashboard'!$A$9:$A$26</c:f>
              <c:strCache>
                <c:ptCount val="18"/>
                <c:pt idx="0">
                  <c:v>BEV001</c:v>
                </c:pt>
                <c:pt idx="1">
                  <c:v>BEV002</c:v>
                </c:pt>
                <c:pt idx="2">
                  <c:v>BEV003</c:v>
                </c:pt>
                <c:pt idx="3">
                  <c:v>BEV004</c:v>
                </c:pt>
                <c:pt idx="4">
                  <c:v>NDL001</c:v>
                </c:pt>
                <c:pt idx="5">
                  <c:v>NDL002</c:v>
                </c:pt>
                <c:pt idx="6">
                  <c:v>NDL003</c:v>
                </c:pt>
                <c:pt idx="7">
                  <c:v>OIL001</c:v>
                </c:pt>
                <c:pt idx="8">
                  <c:v>OIL002</c:v>
                </c:pt>
                <c:pt idx="9">
                  <c:v>DET001</c:v>
                </c:pt>
                <c:pt idx="10">
                  <c:v>DET002</c:v>
                </c:pt>
                <c:pt idx="11">
                  <c:v>DET003</c:v>
                </c:pt>
                <c:pt idx="12">
                  <c:v>FDS001</c:v>
                </c:pt>
                <c:pt idx="13">
                  <c:v>FDS002</c:v>
                </c:pt>
                <c:pt idx="14">
                  <c:v>FDS003</c:v>
                </c:pt>
                <c:pt idx="15">
                  <c:v>FDS004</c:v>
                </c:pt>
                <c:pt idx="16">
                  <c:v>FDS005</c:v>
                </c:pt>
                <c:pt idx="17">
                  <c:v>FDS006</c:v>
                </c:pt>
              </c:strCache>
            </c:strRef>
          </c:cat>
          <c:val>
            <c:numRef>
              <c:f>'Reorder Dashboard'!$E$9:$E$26</c:f>
              <c:numCache>
                <c:formatCode>#,##0</c:formatCode>
                <c:ptCount val="18"/>
                <c:pt idx="0">
                  <c:v>25</c:v>
                </c:pt>
                <c:pt idx="1">
                  <c:v>25</c:v>
                </c:pt>
                <c:pt idx="2">
                  <c:v>55</c:v>
                </c:pt>
                <c:pt idx="3">
                  <c:v>27</c:v>
                </c:pt>
                <c:pt idx="4">
                  <c:v>105</c:v>
                </c:pt>
                <c:pt idx="5">
                  <c:v>0</c:v>
                </c:pt>
                <c:pt idx="6">
                  <c:v>24</c:v>
                </c:pt>
                <c:pt idx="7">
                  <c:v>21</c:v>
                </c:pt>
                <c:pt idx="8">
                  <c:v>17</c:v>
                </c:pt>
                <c:pt idx="9">
                  <c:v>27</c:v>
                </c:pt>
                <c:pt idx="10">
                  <c:v>30</c:v>
                </c:pt>
                <c:pt idx="11">
                  <c:v>28</c:v>
                </c:pt>
                <c:pt idx="12">
                  <c:v>17</c:v>
                </c:pt>
                <c:pt idx="13">
                  <c:v>36</c:v>
                </c:pt>
                <c:pt idx="14">
                  <c:v>35</c:v>
                </c:pt>
                <c:pt idx="15">
                  <c:v>66</c:v>
                </c:pt>
                <c:pt idx="16">
                  <c:v>20</c:v>
                </c:pt>
                <c:pt idx="1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6-4309-B00F-B47A9000970E}"/>
            </c:ext>
          </c:extLst>
        </c:ser>
        <c:ser>
          <c:idx val="1"/>
          <c:order val="1"/>
          <c:tx>
            <c:strRef>
              <c:f>'Reorder Dashboard'!$J$8</c:f>
              <c:strCache>
                <c:ptCount val="1"/>
                <c:pt idx="0">
                  <c:v>Effective Minimum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'Reorder Dashboard'!$A$9:$A$26</c:f>
              <c:strCache>
                <c:ptCount val="18"/>
                <c:pt idx="0">
                  <c:v>BEV001</c:v>
                </c:pt>
                <c:pt idx="1">
                  <c:v>BEV002</c:v>
                </c:pt>
                <c:pt idx="2">
                  <c:v>BEV003</c:v>
                </c:pt>
                <c:pt idx="3">
                  <c:v>BEV004</c:v>
                </c:pt>
                <c:pt idx="4">
                  <c:v>NDL001</c:v>
                </c:pt>
                <c:pt idx="5">
                  <c:v>NDL002</c:v>
                </c:pt>
                <c:pt idx="6">
                  <c:v>NDL003</c:v>
                </c:pt>
                <c:pt idx="7">
                  <c:v>OIL001</c:v>
                </c:pt>
                <c:pt idx="8">
                  <c:v>OIL002</c:v>
                </c:pt>
                <c:pt idx="9">
                  <c:v>DET001</c:v>
                </c:pt>
                <c:pt idx="10">
                  <c:v>DET002</c:v>
                </c:pt>
                <c:pt idx="11">
                  <c:v>DET003</c:v>
                </c:pt>
                <c:pt idx="12">
                  <c:v>FDS001</c:v>
                </c:pt>
                <c:pt idx="13">
                  <c:v>FDS002</c:v>
                </c:pt>
                <c:pt idx="14">
                  <c:v>FDS003</c:v>
                </c:pt>
                <c:pt idx="15">
                  <c:v>FDS004</c:v>
                </c:pt>
                <c:pt idx="16">
                  <c:v>FDS005</c:v>
                </c:pt>
                <c:pt idx="17">
                  <c:v>FDS006</c:v>
                </c:pt>
              </c:strCache>
            </c:strRef>
          </c:cat>
          <c:val>
            <c:numRef>
              <c:f>'Reorder Dashboard'!$J$9:$J$26</c:f>
              <c:numCache>
                <c:formatCode>#,##0</c:formatCode>
                <c:ptCount val="18"/>
                <c:pt idx="0">
                  <c:v>40</c:v>
                </c:pt>
                <c:pt idx="1">
                  <c:v>28</c:v>
                </c:pt>
                <c:pt idx="2">
                  <c:v>48</c:v>
                </c:pt>
                <c:pt idx="3">
                  <c:v>6</c:v>
                </c:pt>
                <c:pt idx="4">
                  <c:v>75</c:v>
                </c:pt>
                <c:pt idx="5">
                  <c:v>45</c:v>
                </c:pt>
                <c:pt idx="6">
                  <c:v>10</c:v>
                </c:pt>
                <c:pt idx="7">
                  <c:v>24</c:v>
                </c:pt>
                <c:pt idx="8">
                  <c:v>10</c:v>
                </c:pt>
                <c:pt idx="9">
                  <c:v>25</c:v>
                </c:pt>
                <c:pt idx="10">
                  <c:v>17</c:v>
                </c:pt>
                <c:pt idx="11">
                  <c:v>6</c:v>
                </c:pt>
                <c:pt idx="12">
                  <c:v>21</c:v>
                </c:pt>
                <c:pt idx="13">
                  <c:v>31</c:v>
                </c:pt>
                <c:pt idx="14">
                  <c:v>18</c:v>
                </c:pt>
                <c:pt idx="15">
                  <c:v>39</c:v>
                </c:pt>
                <c:pt idx="16">
                  <c:v>5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6-4309-B00F-B47A90009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42205"/>
        <c:axId val="98362065"/>
      </c:barChart>
      <c:catAx>
        <c:axId val="26242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62065"/>
        <c:crosses val="autoZero"/>
        <c:auto val="1"/>
        <c:lblAlgn val="ctr"/>
        <c:lblOffset val="100"/>
        <c:noMultiLvlLbl val="0"/>
      </c:catAx>
      <c:valAx>
        <c:axId val="98362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Cartons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422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Stock variance by product (units; negative = shortage)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Reconciliation!$E$14</c:f>
              <c:strCache>
                <c:ptCount val="1"/>
                <c:pt idx="0">
                  <c:v>Variance (units)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Reconciliation!$B$15:$B$32</c:f>
              <c:strCache>
                <c:ptCount val="18"/>
                <c:pt idx="0">
                  <c:v>Cola Soft Drink 50cl PET</c:v>
                </c:pt>
                <c:pt idx="1">
                  <c:v>Orange Soft Drink 50cl PET</c:v>
                </c:pt>
                <c:pt idx="2">
                  <c:v>Table Water 75cl</c:v>
                </c:pt>
                <c:pt idx="3">
                  <c:v>Malt Drink 33cl Can</c:v>
                </c:pt>
                <c:pt idx="4">
                  <c:v>Instant Noodles Chicken 70g</c:v>
                </c:pt>
                <c:pt idx="5">
                  <c:v>Instant Noodles Onion 70g</c:v>
                </c:pt>
                <c:pt idx="6">
                  <c:v>Spaghetti 500g</c:v>
                </c:pt>
                <c:pt idx="7">
                  <c:v>Vegetable Oil 5L</c:v>
                </c:pt>
                <c:pt idx="8">
                  <c:v>Vegetable Oil 1L</c:v>
                </c:pt>
                <c:pt idx="9">
                  <c:v>Detergent Powder 900g</c:v>
                </c:pt>
                <c:pt idx="10">
                  <c:v>Detergent Powder 400g</c:v>
                </c:pt>
                <c:pt idx="11">
                  <c:v>Laundry Bar Soap</c:v>
                </c:pt>
                <c:pt idx="12">
                  <c:v>Evaporated Milk 160g Tin</c:v>
                </c:pt>
                <c:pt idx="13">
                  <c:v>Tomato Paste 70g Sachet</c:v>
                </c:pt>
                <c:pt idx="14">
                  <c:v>Seasoning Cubes</c:v>
                </c:pt>
                <c:pt idx="15">
                  <c:v>Granulated Sugar 500g</c:v>
                </c:pt>
                <c:pt idx="16">
                  <c:v>Table Salt 500g</c:v>
                </c:pt>
                <c:pt idx="17">
                  <c:v>Cocoa Beverage Powder 400g</c:v>
                </c:pt>
              </c:strCache>
            </c:strRef>
          </c:cat>
          <c:val>
            <c:numRef>
              <c:f>Reconciliation!$E$15:$E$32</c:f>
              <c:numCache>
                <c:formatCode>#,##0;[Red]\-#,##0;0</c:formatCode>
                <c:ptCount val="18"/>
                <c:pt idx="0">
                  <c:v>-2</c:v>
                </c:pt>
                <c:pt idx="1">
                  <c:v>0</c:v>
                </c:pt>
                <c:pt idx="2">
                  <c:v>-4</c:v>
                </c:pt>
                <c:pt idx="3">
                  <c:v>0</c:v>
                </c:pt>
                <c:pt idx="4">
                  <c:v>-3</c:v>
                </c:pt>
                <c:pt idx="5">
                  <c:v>0</c:v>
                </c:pt>
                <c:pt idx="6">
                  <c:v>1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0-42E3-8F3D-4BF7E314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88195"/>
        <c:axId val="81607405"/>
      </c:barChart>
      <c:catAx>
        <c:axId val="271881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07405"/>
        <c:crosses val="autoZero"/>
        <c:auto val="1"/>
        <c:lblAlgn val="ctr"/>
        <c:lblOffset val="100"/>
        <c:noMultiLvlLbl val="0"/>
      </c:catAx>
      <c:valAx>
        <c:axId val="8160740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88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Units sold by product (cartons, 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'Movers Analysis'!$D$5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'Movers Analysis'!$C$6:$C$23</c:f>
              <c:strCache>
                <c:ptCount val="18"/>
                <c:pt idx="0">
                  <c:v>Instant Noodles Chicken 70g</c:v>
                </c:pt>
                <c:pt idx="1">
                  <c:v>Table Water 75cl</c:v>
                </c:pt>
                <c:pt idx="2">
                  <c:v>Cola Soft Drink 50cl PET</c:v>
                </c:pt>
                <c:pt idx="3">
                  <c:v>Instant Noodles Onion 70g</c:v>
                </c:pt>
                <c:pt idx="4">
                  <c:v>Orange Soft Drink 50cl PET</c:v>
                </c:pt>
                <c:pt idx="5">
                  <c:v>Granulated Sugar 500g</c:v>
                </c:pt>
                <c:pt idx="6">
                  <c:v>Detergent Powder 900g</c:v>
                </c:pt>
                <c:pt idx="7">
                  <c:v>Tomato Paste 70g Sachet</c:v>
                </c:pt>
                <c:pt idx="8">
                  <c:v>Vegetable Oil 5L</c:v>
                </c:pt>
                <c:pt idx="9">
                  <c:v>Detergent Powder 400g</c:v>
                </c:pt>
                <c:pt idx="10">
                  <c:v>Evaporated Milk 160g Tin</c:v>
                </c:pt>
                <c:pt idx="11">
                  <c:v>Seasoning Cubes</c:v>
                </c:pt>
                <c:pt idx="12">
                  <c:v>Spaghetti 500g</c:v>
                </c:pt>
                <c:pt idx="13">
                  <c:v>Vegetable Oil 1L</c:v>
                </c:pt>
                <c:pt idx="14">
                  <c:v>Malt Drink 33cl Can</c:v>
                </c:pt>
                <c:pt idx="15">
                  <c:v>Laundry Bar Soap</c:v>
                </c:pt>
                <c:pt idx="16">
                  <c:v>Cocoa Beverage Powder 400g</c:v>
                </c:pt>
                <c:pt idx="17">
                  <c:v>Table Salt 500g</c:v>
                </c:pt>
              </c:strCache>
            </c:strRef>
          </c:cat>
          <c:val>
            <c:numRef>
              <c:f>'Movers Analysis'!$D$6:$D$23</c:f>
              <c:numCache>
                <c:formatCode>#,##0</c:formatCode>
                <c:ptCount val="18"/>
                <c:pt idx="0">
                  <c:v>90</c:v>
                </c:pt>
                <c:pt idx="1">
                  <c:v>72</c:v>
                </c:pt>
                <c:pt idx="2">
                  <c:v>60</c:v>
                </c:pt>
                <c:pt idx="3">
                  <c:v>54</c:v>
                </c:pt>
                <c:pt idx="4">
                  <c:v>42</c:v>
                </c:pt>
                <c:pt idx="5">
                  <c:v>33</c:v>
                </c:pt>
                <c:pt idx="6">
                  <c:v>30</c:v>
                </c:pt>
                <c:pt idx="7">
                  <c:v>26</c:v>
                </c:pt>
                <c:pt idx="8">
                  <c:v>24</c:v>
                </c:pt>
                <c:pt idx="9">
                  <c:v>20</c:v>
                </c:pt>
                <c:pt idx="10">
                  <c:v>18</c:v>
                </c:pt>
                <c:pt idx="11">
                  <c:v>15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A-467C-8B5F-84B11B782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04816"/>
        <c:axId val="66587624"/>
      </c:barChart>
      <c:catAx>
        <c:axId val="61204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87624"/>
        <c:crosses val="autoZero"/>
        <c:auto val="1"/>
        <c:lblAlgn val="ctr"/>
        <c:lblOffset val="100"/>
        <c:noMultiLvlLbl val="0"/>
      </c:catAx>
      <c:valAx>
        <c:axId val="6658762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04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sales by day (₦)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Summary'!$J$5</c:f>
              <c:strCache>
                <c:ptCount val="1"/>
                <c:pt idx="0">
                  <c:v>Net Sales (₦)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Summary'!$B$6:$B$11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</c:strCache>
            </c:strRef>
          </c:cat>
          <c:val>
            <c:numRef>
              <c:f>'Sales Summary'!$J$6:$J$11</c:f>
              <c:numCache>
                <c:formatCode>\₦#,##0;[Red]"-₦"#,##0;\-</c:formatCode>
                <c:ptCount val="6"/>
                <c:pt idx="0">
                  <c:v>906900</c:v>
                </c:pt>
                <c:pt idx="1">
                  <c:v>821500</c:v>
                </c:pt>
                <c:pt idx="2">
                  <c:v>706000</c:v>
                </c:pt>
                <c:pt idx="3">
                  <c:v>1018000</c:v>
                </c:pt>
                <c:pt idx="4">
                  <c:v>1117900</c:v>
                </c:pt>
                <c:pt idx="5">
                  <c:v>1879500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6-454F-9555-6E7FA1D33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32681"/>
        <c:axId val="36270035"/>
      </c:barChart>
      <c:catAx>
        <c:axId val="705326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70035"/>
        <c:crosses val="autoZero"/>
        <c:auto val="1"/>
        <c:lblAlgn val="ctr"/>
        <c:lblOffset val="100"/>
        <c:noMultiLvlLbl val="0"/>
      </c:catAx>
      <c:valAx>
        <c:axId val="36270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326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17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160560</xdr:rowOff>
    </xdr:from>
    <xdr:to>
      <xdr:col>14</xdr:col>
      <xdr:colOff>256320</xdr:colOff>
      <xdr:row>34</xdr:row>
      <xdr:rowOff>182520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246240</xdr:rowOff>
    </xdr:from>
    <xdr:to>
      <xdr:col>14</xdr:col>
      <xdr:colOff>256320</xdr:colOff>
      <xdr:row>49</xdr:row>
      <xdr:rowOff>118080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178920</xdr:rowOff>
    </xdr:from>
    <xdr:to>
      <xdr:col>7</xdr:col>
      <xdr:colOff>619560</xdr:colOff>
      <xdr:row>53</xdr:row>
      <xdr:rowOff>180360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160920</xdr:rowOff>
    </xdr:from>
    <xdr:to>
      <xdr:col>4</xdr:col>
      <xdr:colOff>644400</xdr:colOff>
      <xdr:row>55</xdr:row>
      <xdr:rowOff>119880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</xdr:row>
      <xdr:rowOff>160920</xdr:rowOff>
    </xdr:from>
    <xdr:to>
      <xdr:col>11</xdr:col>
      <xdr:colOff>785160</xdr:colOff>
      <xdr:row>45</xdr:row>
      <xdr:rowOff>119880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160560</xdr:rowOff>
    </xdr:from>
    <xdr:to>
      <xdr:col>6</xdr:col>
      <xdr:colOff>50400</xdr:colOff>
      <xdr:row>38</xdr:row>
      <xdr:rowOff>182880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5"/>
  <sheetViews>
    <sheetView showGridLines="0" topLeftCell="A5" zoomScaleNormal="100" workbookViewId="0">
      <selection activeCell="B4" sqref="B4"/>
    </sheetView>
  </sheetViews>
  <sheetFormatPr defaultColWidth="8.7109375" defaultRowHeight="15" x14ac:dyDescent="0.25"/>
  <cols>
    <col min="1" max="1" width="24" style="51" customWidth="1"/>
    <col min="2" max="2" width="110" style="51" customWidth="1"/>
    <col min="3" max="16384" width="8.7109375" style="51"/>
  </cols>
  <sheetData>
    <row r="1" spans="1:2" ht="18.75" x14ac:dyDescent="0.25">
      <c r="A1" s="50" t="s">
        <v>0</v>
      </c>
    </row>
    <row r="2" spans="1:2" x14ac:dyDescent="0.25">
      <c r="A2" s="52" t="s">
        <v>1</v>
      </c>
    </row>
    <row r="4" spans="1:2" ht="30" customHeight="1" x14ac:dyDescent="0.25">
      <c r="A4" s="53" t="s">
        <v>2</v>
      </c>
      <c r="B4" s="54" t="s">
        <v>3</v>
      </c>
    </row>
    <row r="5" spans="1:2" ht="30" customHeight="1" x14ac:dyDescent="0.25">
      <c r="A5" s="55" t="s">
        <v>4</v>
      </c>
      <c r="B5" s="54" t="s">
        <v>5</v>
      </c>
    </row>
    <row r="6" spans="1:2" ht="30" customHeight="1" x14ac:dyDescent="0.25">
      <c r="A6" s="53" t="s">
        <v>6</v>
      </c>
      <c r="B6" s="54" t="s">
        <v>7</v>
      </c>
    </row>
    <row r="7" spans="1:2" ht="15" customHeight="1" x14ac:dyDescent="0.25">
      <c r="A7" s="53" t="s">
        <v>8</v>
      </c>
      <c r="B7" s="54" t="s">
        <v>9</v>
      </c>
    </row>
    <row r="9" spans="1:2" x14ac:dyDescent="0.25">
      <c r="A9" s="56" t="s">
        <v>10</v>
      </c>
      <c r="B9" s="57"/>
    </row>
    <row r="10" spans="1:2" ht="15" customHeight="1" x14ac:dyDescent="0.25">
      <c r="A10" s="53" t="s">
        <v>11</v>
      </c>
      <c r="B10" s="54" t="s">
        <v>12</v>
      </c>
    </row>
    <row r="11" spans="1:2" ht="15" customHeight="1" x14ac:dyDescent="0.25">
      <c r="A11" s="53" t="s">
        <v>13</v>
      </c>
      <c r="B11" s="54" t="s">
        <v>14</v>
      </c>
    </row>
    <row r="12" spans="1:2" ht="30" customHeight="1" x14ac:dyDescent="0.25">
      <c r="A12" s="53" t="s">
        <v>15</v>
      </c>
      <c r="B12" s="54" t="s">
        <v>16</v>
      </c>
    </row>
    <row r="13" spans="1:2" ht="30" customHeight="1" x14ac:dyDescent="0.25">
      <c r="A13" s="53" t="s">
        <v>17</v>
      </c>
      <c r="B13" s="54" t="s">
        <v>18</v>
      </c>
    </row>
    <row r="14" spans="1:2" ht="30" customHeight="1" x14ac:dyDescent="0.25">
      <c r="A14" s="53" t="s">
        <v>19</v>
      </c>
      <c r="B14" s="54" t="s">
        <v>20</v>
      </c>
    </row>
    <row r="15" spans="1:2" ht="15" customHeight="1" x14ac:dyDescent="0.25">
      <c r="A15" s="53" t="s">
        <v>21</v>
      </c>
      <c r="B15" s="54" t="s">
        <v>22</v>
      </c>
    </row>
    <row r="16" spans="1:2" ht="15" customHeight="1" x14ac:dyDescent="0.25">
      <c r="A16" s="53" t="s">
        <v>23</v>
      </c>
      <c r="B16" s="54" t="s">
        <v>24</v>
      </c>
    </row>
    <row r="17" spans="1:2" ht="15" customHeight="1" x14ac:dyDescent="0.25">
      <c r="A17" s="53" t="s">
        <v>25</v>
      </c>
      <c r="B17" s="54" t="s">
        <v>26</v>
      </c>
    </row>
    <row r="18" spans="1:2" ht="15" customHeight="1" x14ac:dyDescent="0.25">
      <c r="A18" s="53" t="s">
        <v>27</v>
      </c>
      <c r="B18" s="54" t="s">
        <v>28</v>
      </c>
    </row>
    <row r="20" spans="1:2" x14ac:dyDescent="0.25">
      <c r="A20" s="56" t="s">
        <v>29</v>
      </c>
      <c r="B20" s="57"/>
    </row>
    <row r="21" spans="1:2" ht="15" customHeight="1" x14ac:dyDescent="0.25">
      <c r="A21" s="58" t="s">
        <v>30</v>
      </c>
      <c r="B21" s="54" t="s">
        <v>31</v>
      </c>
    </row>
    <row r="22" spans="1:2" ht="15" customHeight="1" x14ac:dyDescent="0.25">
      <c r="A22" s="53" t="s">
        <v>32</v>
      </c>
      <c r="B22" s="54" t="s">
        <v>33</v>
      </c>
    </row>
    <row r="24" spans="1:2" x14ac:dyDescent="0.25">
      <c r="A24" s="56" t="s">
        <v>34</v>
      </c>
      <c r="B24" s="57"/>
    </row>
    <row r="25" spans="1:2" ht="30" customHeight="1" x14ac:dyDescent="0.25">
      <c r="A25" s="53" t="s">
        <v>35</v>
      </c>
      <c r="B25" s="54" t="s">
        <v>36</v>
      </c>
    </row>
    <row r="26" spans="1:2" ht="30" customHeight="1" x14ac:dyDescent="0.25">
      <c r="A26" s="53" t="s">
        <v>37</v>
      </c>
      <c r="B26" s="54" t="s">
        <v>38</v>
      </c>
    </row>
    <row r="27" spans="1:2" ht="45" customHeight="1" x14ac:dyDescent="0.25">
      <c r="A27" s="53" t="s">
        <v>39</v>
      </c>
      <c r="B27" s="54" t="s">
        <v>40</v>
      </c>
    </row>
    <row r="29" spans="1:2" x14ac:dyDescent="0.25">
      <c r="A29" s="56" t="s">
        <v>41</v>
      </c>
      <c r="B29" s="57"/>
    </row>
    <row r="30" spans="1:2" ht="30" customHeight="1" x14ac:dyDescent="0.25">
      <c r="A30" s="53" t="s">
        <v>42</v>
      </c>
      <c r="B30" s="54" t="s">
        <v>43</v>
      </c>
    </row>
    <row r="31" spans="1:2" ht="15" customHeight="1" x14ac:dyDescent="0.25">
      <c r="A31" s="53" t="s">
        <v>44</v>
      </c>
      <c r="B31" s="54" t="s">
        <v>45</v>
      </c>
    </row>
    <row r="32" spans="1:2" ht="30" customHeight="1" x14ac:dyDescent="0.25">
      <c r="A32" s="53" t="s">
        <v>46</v>
      </c>
      <c r="B32" s="54" t="s">
        <v>47</v>
      </c>
    </row>
    <row r="33" spans="1:2" ht="30" customHeight="1" x14ac:dyDescent="0.25">
      <c r="A33" s="53" t="s">
        <v>48</v>
      </c>
      <c r="B33" s="54" t="s">
        <v>49</v>
      </c>
    </row>
    <row r="34" spans="1:2" ht="30" customHeight="1" x14ac:dyDescent="0.25">
      <c r="A34" s="53" t="s">
        <v>50</v>
      </c>
      <c r="B34" s="54" t="s">
        <v>51</v>
      </c>
    </row>
    <row r="35" spans="1:2" ht="30" customHeight="1" x14ac:dyDescent="0.25">
      <c r="A35" s="53" t="s">
        <v>52</v>
      </c>
      <c r="B35" s="54" t="s">
        <v>53</v>
      </c>
    </row>
  </sheetData>
  <pageMargins left="0.75" right="0.75" top="1" bottom="1" header="0.511811023622047" footer="0.5"/>
  <pageSetup fitToHeight="0" orientation="portrait" horizontalDpi="300" verticalDpi="300"/>
  <headerFooter>
    <oddFooter>&amp;C&amp;A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52" style="51" customWidth="1"/>
    <col min="2" max="3" width="18" style="51" customWidth="1"/>
    <col min="4" max="4" width="16" style="51" customWidth="1"/>
    <col min="5" max="5" width="3" style="51" customWidth="1"/>
    <col min="6" max="16384" width="8.7109375" style="51"/>
  </cols>
  <sheetData>
    <row r="1" spans="1:3" ht="18.75" x14ac:dyDescent="0.25">
      <c r="A1" s="50" t="str">
        <f>Settings!B4&amp;" - Weekly Inventory Performance Summary"</f>
        <v>Eko Provisions Distribution Ltd (sample) - Weekly Inventory Performance Summary</v>
      </c>
    </row>
    <row r="2" spans="1:3" x14ac:dyDescent="0.25">
      <c r="A2" s="52" t="str">
        <f>"Week: "&amp;TEXT(Settings!B5,"dd mmm yyyy")&amp;" to "&amp;TEXT(Settings!B7,"dd mmm yyyy")&amp;"  |  Values in ₦ at cost unless stated  |  Sample data"</f>
        <v>Week: 19 Oct 2026 to 24 Oct 2026  |  Values in ₦ at cost unless stated  |  Sample data</v>
      </c>
    </row>
    <row r="4" spans="1:3" x14ac:dyDescent="0.25">
      <c r="A4" s="56" t="s">
        <v>54</v>
      </c>
      <c r="B4" s="56"/>
      <c r="C4" s="56"/>
    </row>
    <row r="5" spans="1:3" x14ac:dyDescent="0.25">
      <c r="A5" s="59" t="s">
        <v>55</v>
      </c>
      <c r="B5" s="60">
        <f>'Sales Summary'!H12</f>
        <v>6588900</v>
      </c>
      <c r="C5" s="59"/>
    </row>
    <row r="6" spans="1:3" x14ac:dyDescent="0.25">
      <c r="A6" s="59" t="s">
        <v>56</v>
      </c>
      <c r="B6" s="61">
        <f>'Sales Summary'!E12</f>
        <v>2077800</v>
      </c>
      <c r="C6" s="62">
        <f>IFERROR(B6/$B$5,0)</f>
        <v>0.31534854072758728</v>
      </c>
    </row>
    <row r="7" spans="1:3" x14ac:dyDescent="0.25">
      <c r="A7" s="59" t="s">
        <v>57</v>
      </c>
      <c r="B7" s="61">
        <f>'Sales Summary'!F12</f>
        <v>1972900</v>
      </c>
      <c r="C7" s="62">
        <f>IFERROR(B7/$B$5,0)</f>
        <v>0.29942782558545433</v>
      </c>
    </row>
    <row r="8" spans="1:3" x14ac:dyDescent="0.25">
      <c r="A8" s="59" t="s">
        <v>58</v>
      </c>
      <c r="B8" s="61">
        <f>'Sales Summary'!G12</f>
        <v>2538200</v>
      </c>
      <c r="C8" s="62">
        <f>IFERROR(B8/$B$5,0)</f>
        <v>0.38522363368695839</v>
      </c>
    </row>
    <row r="9" spans="1:3" x14ac:dyDescent="0.25">
      <c r="A9" s="59" t="s">
        <v>59</v>
      </c>
      <c r="B9" s="61">
        <f>'Sales Summary'!I12</f>
        <v>139100</v>
      </c>
      <c r="C9" s="59"/>
    </row>
    <row r="10" spans="1:3" x14ac:dyDescent="0.25">
      <c r="A10" s="59" t="s">
        <v>60</v>
      </c>
      <c r="B10" s="61">
        <f>SUMPRODUCT(Register!G6:G23-Register!F6:F23,Register!M6:M23)</f>
        <v>5804900</v>
      </c>
      <c r="C10" s="59"/>
    </row>
    <row r="11" spans="1:3" x14ac:dyDescent="0.25">
      <c r="A11" s="59" t="s">
        <v>61</v>
      </c>
      <c r="B11" s="60">
        <f>B5-B9</f>
        <v>6449800</v>
      </c>
      <c r="C11" s="59"/>
    </row>
    <row r="12" spans="1:3" x14ac:dyDescent="0.25">
      <c r="A12" s="59" t="s">
        <v>62</v>
      </c>
      <c r="B12" s="60">
        <f>B11-B10</f>
        <v>644900</v>
      </c>
      <c r="C12" s="59"/>
    </row>
    <row r="13" spans="1:3" x14ac:dyDescent="0.25">
      <c r="A13" s="59" t="s">
        <v>63</v>
      </c>
      <c r="B13" s="62">
        <f>IFERROR(B12/B11,0)</f>
        <v>9.9987596514620608E-2</v>
      </c>
      <c r="C13" s="59"/>
    </row>
    <row r="15" spans="1:3" x14ac:dyDescent="0.25">
      <c r="A15" s="56" t="s">
        <v>64</v>
      </c>
      <c r="B15" s="56"/>
      <c r="C15" s="56"/>
    </row>
    <row r="16" spans="1:3" x14ac:dyDescent="0.25">
      <c r="A16" s="59" t="s">
        <v>65</v>
      </c>
      <c r="B16" s="61">
        <f>SUMPRODUCT(Register!D6:D23,Register!M6:M23)</f>
        <v>10345900</v>
      </c>
      <c r="C16" s="59"/>
    </row>
    <row r="17" spans="1:3" x14ac:dyDescent="0.25">
      <c r="A17" s="59" t="s">
        <v>66</v>
      </c>
      <c r="B17" s="61">
        <f>SUMPRODUCT(Register!E6:E23,Register!M6:M23)</f>
        <v>3308300</v>
      </c>
      <c r="C17" s="59"/>
    </row>
    <row r="18" spans="1:3" x14ac:dyDescent="0.25">
      <c r="A18" s="59" t="s">
        <v>67</v>
      </c>
      <c r="B18" s="61">
        <f>SUMPRODUCT(Register!J6:J23,Register!M6:M23)</f>
        <v>7672800</v>
      </c>
      <c r="C18" s="59"/>
    </row>
    <row r="19" spans="1:3" x14ac:dyDescent="0.25">
      <c r="A19" s="59" t="s">
        <v>68</v>
      </c>
      <c r="B19" s="60">
        <f>SUMPRODUCT(Register!K6:K23,Register!M6:M23)</f>
        <v>7585900</v>
      </c>
      <c r="C19" s="59"/>
    </row>
    <row r="20" spans="1:3" x14ac:dyDescent="0.25">
      <c r="A20" s="59" t="s">
        <v>69</v>
      </c>
      <c r="B20" s="62">
        <f>COUNTIF('Reorder Dashboard'!E9:E26,"&gt;0")/COUNTA('Reorder Dashboard'!A9:A26)</f>
        <v>0.94444444444444442</v>
      </c>
      <c r="C20" s="59"/>
    </row>
    <row r="21" spans="1:3" x14ac:dyDescent="0.25">
      <c r="A21" s="59" t="s">
        <v>70</v>
      </c>
      <c r="B21" s="63">
        <f>'Reorder Dashboard'!A5</f>
        <v>1</v>
      </c>
      <c r="C21" s="59"/>
    </row>
    <row r="22" spans="1:3" x14ac:dyDescent="0.25">
      <c r="A22" s="59" t="s">
        <v>71</v>
      </c>
      <c r="B22" s="63">
        <f>'Reorder Dashboard'!B5</f>
        <v>4</v>
      </c>
      <c r="C22" s="59"/>
    </row>
    <row r="23" spans="1:3" x14ac:dyDescent="0.25">
      <c r="A23" s="59" t="s">
        <v>72</v>
      </c>
      <c r="B23" s="63">
        <f>'Reorder Dashboard'!C5</f>
        <v>3</v>
      </c>
      <c r="C23" s="59"/>
    </row>
    <row r="24" spans="1:3" x14ac:dyDescent="0.25">
      <c r="A24" s="59" t="s">
        <v>73</v>
      </c>
      <c r="B24" s="60">
        <f>'Reorder Dashboard'!E5</f>
        <v>3977800</v>
      </c>
      <c r="C24" s="59"/>
    </row>
    <row r="26" spans="1:3" x14ac:dyDescent="0.25">
      <c r="A26" s="56" t="s">
        <v>74</v>
      </c>
      <c r="B26" s="56"/>
      <c r="C26" s="56"/>
    </row>
    <row r="27" spans="1:3" x14ac:dyDescent="0.25">
      <c r="A27" s="59" t="s">
        <v>75</v>
      </c>
      <c r="B27" s="63">
        <f>Reconciliation!B6+Reconciliation!B7</f>
        <v>7</v>
      </c>
      <c r="C27" s="59"/>
    </row>
    <row r="28" spans="1:3" x14ac:dyDescent="0.25">
      <c r="A28" s="59" t="s">
        <v>76</v>
      </c>
      <c r="B28" s="62">
        <f>Reconciliation!B8</f>
        <v>0.61111111111111116</v>
      </c>
      <c r="C28" s="59"/>
    </row>
    <row r="29" spans="1:3" x14ac:dyDescent="0.25">
      <c r="A29" s="59" t="s">
        <v>77</v>
      </c>
      <c r="B29" s="61">
        <f>Reconciliation!E4</f>
        <v>-112800</v>
      </c>
      <c r="C29" s="59"/>
    </row>
    <row r="30" spans="1:3" x14ac:dyDescent="0.25">
      <c r="A30" s="59" t="s">
        <v>78</v>
      </c>
      <c r="B30" s="61">
        <f>Reconciliation!E5</f>
        <v>25900</v>
      </c>
      <c r="C30" s="59"/>
    </row>
    <row r="31" spans="1:3" x14ac:dyDescent="0.25">
      <c r="A31" s="59" t="s">
        <v>79</v>
      </c>
      <c r="B31" s="61">
        <f>Reconciliation!E6</f>
        <v>-86900</v>
      </c>
      <c r="C31" s="59"/>
    </row>
    <row r="32" spans="1:3" x14ac:dyDescent="0.25">
      <c r="A32" s="59" t="s">
        <v>80</v>
      </c>
      <c r="B32" s="61">
        <f>Reconciliation!E7</f>
        <v>123300</v>
      </c>
      <c r="C32" s="59"/>
    </row>
    <row r="33" spans="1:4" x14ac:dyDescent="0.25">
      <c r="A33" s="59" t="s">
        <v>81</v>
      </c>
      <c r="B33" s="61">
        <f>SUMPRODUCT(Register!H6:H23,Register!M6:M23)</f>
        <v>53200</v>
      </c>
      <c r="C33" s="59"/>
    </row>
    <row r="34" spans="1:4" x14ac:dyDescent="0.25">
      <c r="A34" s="59" t="s">
        <v>82</v>
      </c>
      <c r="B34" s="60">
        <f>-B29+B32</f>
        <v>236100</v>
      </c>
      <c r="C34" s="64">
        <f>IFERROR(B34/B11,0)</f>
        <v>3.6605786225929485E-2</v>
      </c>
    </row>
    <row r="36" spans="1:4" x14ac:dyDescent="0.25">
      <c r="A36" s="56" t="s">
        <v>83</v>
      </c>
      <c r="B36" s="56"/>
      <c r="C36" s="56"/>
      <c r="D36" s="56"/>
    </row>
    <row r="37" spans="1:4" ht="21.75" customHeight="1" x14ac:dyDescent="0.25">
      <c r="A37" s="65" t="s">
        <v>84</v>
      </c>
      <c r="B37" s="65" t="s">
        <v>85</v>
      </c>
      <c r="C37" s="65" t="s">
        <v>86</v>
      </c>
      <c r="D37" s="65" t="s">
        <v>52</v>
      </c>
    </row>
    <row r="38" spans="1:4" x14ac:dyDescent="0.25">
      <c r="A38" s="59" t="str">
        <f>INDEX('Movers Analysis'!$C$6:$C$23,MATCH(1,'Movers Analysis'!$A$6:$A$23,0))</f>
        <v>Instant Noodles Chicken 70g</v>
      </c>
      <c r="B38" s="66">
        <f>INDEX('Movers Analysis'!$D$6:$D$23,MATCH(1,'Movers Analysis'!$A$6:$A$23,0))</f>
        <v>90</v>
      </c>
      <c r="C38" s="67">
        <f>INDEX('Movers Analysis'!$H$6:$H$23,MATCH(1,'Movers Analysis'!$A$6:$A$23,0))</f>
        <v>0.80717488789237668</v>
      </c>
      <c r="D38" s="68" t="str">
        <f>INDEX('Movers Analysis'!$K$6:$K$23,MATCH(1,'Movers Analysis'!$A$6:$A$23,0))</f>
        <v>Medium</v>
      </c>
    </row>
    <row r="39" spans="1:4" x14ac:dyDescent="0.25">
      <c r="A39" s="59" t="str">
        <f>INDEX('Movers Analysis'!$C$6:$C$23,MATCH(2,'Movers Analysis'!$A$6:$A$23,0))</f>
        <v>Table Water 75cl</v>
      </c>
      <c r="B39" s="66">
        <f>INDEX('Movers Analysis'!$D$6:$D$23,MATCH(2,'Movers Analysis'!$A$6:$A$23,0))</f>
        <v>72</v>
      </c>
      <c r="C39" s="67">
        <f>INDEX('Movers Analysis'!$H$6:$H$23,MATCH(2,'Movers Analysis'!$A$6:$A$23,0))</f>
        <v>1.2100840336134453</v>
      </c>
      <c r="D39" s="68" t="str">
        <f>INDEX('Movers Analysis'!$K$6:$K$23,MATCH(2,'Movers Analysis'!$A$6:$A$23,0))</f>
        <v>Fast-moving</v>
      </c>
    </row>
    <row r="40" spans="1:4" x14ac:dyDescent="0.25">
      <c r="A40" s="59" t="str">
        <f>INDEX('Movers Analysis'!$C$6:$C$23,MATCH(3,'Movers Analysis'!$A$6:$A$23,0))</f>
        <v>Cola Soft Drink 50cl PET</v>
      </c>
      <c r="B40" s="66">
        <f>INDEX('Movers Analysis'!$D$6:$D$23,MATCH(3,'Movers Analysis'!$A$6:$A$23,0))</f>
        <v>60</v>
      </c>
      <c r="C40" s="67">
        <f>INDEX('Movers Analysis'!$H$6:$H$23,MATCH(3,'Movers Analysis'!$A$6:$A$23,0))</f>
        <v>2.1428571428571428</v>
      </c>
      <c r="D40" s="68" t="str">
        <f>INDEX('Movers Analysis'!$K$6:$K$23,MATCH(3,'Movers Analysis'!$A$6:$A$23,0))</f>
        <v>Fast-moving</v>
      </c>
    </row>
    <row r="41" spans="1:4" x14ac:dyDescent="0.25">
      <c r="A41" s="59" t="str">
        <f>INDEX('Movers Analysis'!$C$6:$C$23,MATCH(4,'Movers Analysis'!$A$6:$A$23,0))</f>
        <v>Instant Noodles Onion 70g</v>
      </c>
      <c r="B41" s="66">
        <f>INDEX('Movers Analysis'!$D$6:$D$23,MATCH(4,'Movers Analysis'!$A$6:$A$23,0))</f>
        <v>54</v>
      </c>
      <c r="C41" s="67">
        <f>INDEX('Movers Analysis'!$H$6:$H$23,MATCH(4,'Movers Analysis'!$A$6:$A$23,0))</f>
        <v>4</v>
      </c>
      <c r="D41" s="68" t="str">
        <f>INDEX('Movers Analysis'!$K$6:$K$23,MATCH(4,'Movers Analysis'!$A$6:$A$23,0))</f>
        <v>Fast-moving</v>
      </c>
    </row>
    <row r="42" spans="1:4" x14ac:dyDescent="0.25">
      <c r="A42" s="59" t="str">
        <f>INDEX('Movers Analysis'!$C$6:$C$23,MATCH(5,'Movers Analysis'!$A$6:$A$23,0))</f>
        <v>Orange Soft Drink 50cl PET</v>
      </c>
      <c r="B42" s="66">
        <f>INDEX('Movers Analysis'!$D$6:$D$23,MATCH(5,'Movers Analysis'!$A$6:$A$23,0))</f>
        <v>42</v>
      </c>
      <c r="C42" s="67">
        <f>INDEX('Movers Analysis'!$H$6:$H$23,MATCH(5,'Movers Analysis'!$A$6:$A$23,0))</f>
        <v>1.4736842105263157</v>
      </c>
      <c r="D42" s="68" t="str">
        <f>INDEX('Movers Analysis'!$K$6:$K$23,MATCH(5,'Movers Analysis'!$A$6:$A$23,0))</f>
        <v>Fast-moving</v>
      </c>
    </row>
    <row r="44" spans="1:4" ht="21.75" customHeight="1" x14ac:dyDescent="0.25">
      <c r="A44" s="65" t="s">
        <v>87</v>
      </c>
      <c r="B44" s="65" t="s">
        <v>85</v>
      </c>
      <c r="C44" s="65" t="s">
        <v>86</v>
      </c>
      <c r="D44" s="65" t="s">
        <v>52</v>
      </c>
    </row>
    <row r="45" spans="1:4" x14ac:dyDescent="0.25">
      <c r="A45" s="59" t="str">
        <f>INDEX('Movers Analysis'!$C$6:$C$23,MATCH(1,'Movers Analysis'!$L$6:$L$23,0))</f>
        <v>Table Salt 500g</v>
      </c>
      <c r="B45" s="66">
        <f>INDEX('Movers Analysis'!$D$6:$D$23,MATCH(1,'Movers Analysis'!$L$6:$L$23,0))</f>
        <v>4</v>
      </c>
      <c r="C45" s="67">
        <f>INDEX('Movers Analysis'!$H$6:$H$23,MATCH(1,'Movers Analysis'!$L$6:$L$23,0))</f>
        <v>0.18181818181818182</v>
      </c>
      <c r="D45" s="68" t="str">
        <f>INDEX('Movers Analysis'!$K$6:$K$23,MATCH(1,'Movers Analysis'!$L$6:$L$23,0))</f>
        <v>Slow-moving</v>
      </c>
    </row>
    <row r="46" spans="1:4" x14ac:dyDescent="0.25">
      <c r="A46" s="59" t="str">
        <f>INDEX('Movers Analysis'!$C$6:$C$23,MATCH(2,'Movers Analysis'!$L$6:$L$23,0))</f>
        <v>Cocoa Beverage Powder 400g</v>
      </c>
      <c r="B46" s="66">
        <f>INDEX('Movers Analysis'!$D$6:$D$23,MATCH(2,'Movers Analysis'!$L$6:$L$23,0))</f>
        <v>6</v>
      </c>
      <c r="C46" s="67">
        <f>INDEX('Movers Analysis'!$H$6:$H$23,MATCH(2,'Movers Analysis'!$L$6:$L$23,0))</f>
        <v>0.20689655172413793</v>
      </c>
      <c r="D46" s="68" t="str">
        <f>INDEX('Movers Analysis'!$K$6:$K$23,MATCH(2,'Movers Analysis'!$L$6:$L$23,0))</f>
        <v>Slow-moving</v>
      </c>
    </row>
    <row r="47" spans="1:4" x14ac:dyDescent="0.25">
      <c r="A47" s="59" t="str">
        <f>INDEX('Movers Analysis'!$C$6:$C$23,MATCH(3,'Movers Analysis'!$L$6:$L$23,0))</f>
        <v>Laundry Bar Soap</v>
      </c>
      <c r="B47" s="66">
        <f>INDEX('Movers Analysis'!$D$6:$D$23,MATCH(3,'Movers Analysis'!$L$6:$L$23,0))</f>
        <v>7</v>
      </c>
      <c r="C47" s="67">
        <f>INDEX('Movers Analysis'!$H$6:$H$23,MATCH(3,'Movers Analysis'!$L$6:$L$23,0))</f>
        <v>0.22222222222222221</v>
      </c>
      <c r="D47" s="68" t="str">
        <f>INDEX('Movers Analysis'!$K$6:$K$23,MATCH(3,'Movers Analysis'!$L$6:$L$23,0))</f>
        <v>Slow-moving</v>
      </c>
    </row>
    <row r="48" spans="1:4" x14ac:dyDescent="0.25">
      <c r="A48" s="59" t="str">
        <f>INDEX('Movers Analysis'!$C$6:$C$23,MATCH(4,'Movers Analysis'!$L$6:$L$23,0))</f>
        <v>Malt Drink 33cl Can</v>
      </c>
      <c r="B48" s="66">
        <f>INDEX('Movers Analysis'!$D$6:$D$23,MATCH(4,'Movers Analysis'!$L$6:$L$23,0))</f>
        <v>9</v>
      </c>
      <c r="C48" s="67">
        <f>INDEX('Movers Analysis'!$H$6:$H$23,MATCH(4,'Movers Analysis'!$L$6:$L$23,0))</f>
        <v>0.28125</v>
      </c>
      <c r="D48" s="68" t="str">
        <f>INDEX('Movers Analysis'!$K$6:$K$23,MATCH(4,'Movers Analysis'!$L$6:$L$23,0))</f>
        <v>Slow-moving</v>
      </c>
    </row>
    <row r="49" spans="1:4" x14ac:dyDescent="0.25">
      <c r="A49" s="59" t="str">
        <f>INDEX('Movers Analysis'!$C$6:$C$23,MATCH(5,'Movers Analysis'!$L$6:$L$23,0))</f>
        <v>Seasoning Cubes</v>
      </c>
      <c r="B49" s="66">
        <f>INDEX('Movers Analysis'!$D$6:$D$23,MATCH(5,'Movers Analysis'!$L$6:$L$23,0))</f>
        <v>15</v>
      </c>
      <c r="C49" s="67">
        <f>INDEX('Movers Analysis'!$H$6:$H$23,MATCH(5,'Movers Analysis'!$L$6:$L$23,0))</f>
        <v>0.35294117647058826</v>
      </c>
      <c r="D49" s="68" t="str">
        <f>INDEX('Movers Analysis'!$K$6:$K$23,MATCH(5,'Movers Analysis'!$L$6:$L$23,0))</f>
        <v>Slow-moving</v>
      </c>
    </row>
    <row r="51" spans="1:4" x14ac:dyDescent="0.25">
      <c r="A51" s="56" t="s">
        <v>88</v>
      </c>
      <c r="B51" s="56"/>
      <c r="C51" s="56"/>
      <c r="D51" s="56"/>
    </row>
    <row r="52" spans="1:4" ht="30" customHeight="1" x14ac:dyDescent="0.25">
      <c r="A52" s="69" t="str">
        <f>"Net sales were ₦"&amp;TEXT(B11,"#,##0")&amp;" at a gross margin of "&amp;TEXT(B13,"0.0%")&amp;"; "&amp;TEXT(C8,"0%")&amp;" of gross sales were on credit and need collection follow-up."</f>
        <v>Net sales were ₦6,449,800 at a gross margin of 10.0%; 39% of gross sales were on credit and need collection follow-up.</v>
      </c>
      <c r="B52" s="69"/>
      <c r="C52" s="69"/>
      <c r="D52" s="69"/>
    </row>
    <row r="53" spans="1:4" ht="30" customHeight="1" x14ac:dyDescent="0.25">
      <c r="A53" s="69" t="str">
        <f>(B21+B22)&amp;" SKU(s) need reordering now ("&amp;B21&amp;" in stock-out) and "&amp;B23&amp;" more are approaching minimum. Estimated order value: ₦"&amp;TEXT(B24,"#,##0")&amp;"."</f>
        <v>5 SKU(s) need reordering now (1 in stock-out) and 3 more are approaching minimum. Estimated order value: ₦3,977,800.</v>
      </c>
      <c r="B53" s="69"/>
      <c r="C53" s="69"/>
      <c r="D53" s="69"/>
    </row>
    <row r="54" spans="1:4" ht="30" customHeight="1" x14ac:dyDescent="0.25">
      <c r="A54" s="69" t="str">
        <f>"The count found variances on "&amp;B27&amp;" SKU(s): shortages ₦"&amp;TEXT(-B29,"#,##0")&amp;", overages ₦"&amp;TEXT(B30,"#,##0")&amp;". "&amp;Reconciliation!B9&amp;" flagged HIGH priority for investigation."</f>
        <v>The count found variances on 7 SKU(s): shortages ₦112,800, overages ₦25,900. 5 flagged HIGH priority for investigation.</v>
      </c>
      <c r="B54" s="69"/>
      <c r="C54" s="69"/>
      <c r="D54" s="69"/>
    </row>
    <row r="55" spans="1:4" ht="30" customHeight="1" x14ac:dyDescent="0.25">
      <c r="A55" s="69" t="str">
        <f>"Potential loss (shortages + damaged stock) is ₦"&amp;TEXT(B34,"#,##0")&amp;", or "&amp;TEXT(C34,"0.0%")&amp;" of net sales."</f>
        <v>Potential loss (shortages + damaged stock) is ₦236,100, or 3.7% of net sales.</v>
      </c>
      <c r="B55" s="69"/>
      <c r="C55" s="69"/>
      <c r="D55" s="69"/>
    </row>
    <row r="56" spans="1:4" ht="30" customHeight="1" x14ac:dyDescent="0.25">
      <c r="A56" s="69" t="str">
        <f>"Best seller: "&amp;A38&amp;" ("&amp;B38&amp;" cartons). Slowest-turning: "&amp;A45&amp;" (turnover "&amp;TEXT(C45,"0.00")&amp;"x)."</f>
        <v>Best seller: Instant Noodles Chicken 70g (90 cartons). Slowest-turning: Table Salt 500g (turnover 0.18x).</v>
      </c>
      <c r="B56" s="69"/>
      <c r="C56" s="69"/>
      <c r="D56" s="69"/>
    </row>
  </sheetData>
  <mergeCells count="5">
    <mergeCell ref="A52:D52"/>
    <mergeCell ref="A53:D53"/>
    <mergeCell ref="A54:D54"/>
    <mergeCell ref="A55:D55"/>
    <mergeCell ref="A56:D56"/>
  </mergeCells>
  <conditionalFormatting sqref="D38:D49">
    <cfRule type="expression" dxfId="23" priority="2">
      <formula>D38="Fast-moving"</formula>
    </cfRule>
    <cfRule type="expression" dxfId="22" priority="3">
      <formula>D38="Medium"</formula>
    </cfRule>
    <cfRule type="expression" dxfId="21" priority="4">
      <formula>D38="Slow-moving"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showGridLines="0" zoomScaleNormal="100" workbookViewId="0">
      <selection sqref="A1:XFD1048576"/>
    </sheetView>
  </sheetViews>
  <sheetFormatPr defaultColWidth="8.7109375" defaultRowHeight="15" x14ac:dyDescent="0.25"/>
  <cols>
    <col min="1" max="1" width="44" style="51" customWidth="1"/>
    <col min="2" max="2" width="38" style="51" customWidth="1"/>
    <col min="3" max="3" width="62" style="51" customWidth="1"/>
    <col min="4" max="16384" width="8.7109375" style="51"/>
  </cols>
  <sheetData>
    <row r="1" spans="1:3" ht="18.75" x14ac:dyDescent="0.25">
      <c r="A1" s="50" t="s">
        <v>89</v>
      </c>
    </row>
    <row r="2" spans="1:3" x14ac:dyDescent="0.25">
      <c r="A2" s="52" t="s">
        <v>90</v>
      </c>
    </row>
    <row r="3" spans="1:3" ht="19.5" customHeight="1" x14ac:dyDescent="0.25">
      <c r="A3" s="65" t="s">
        <v>91</v>
      </c>
      <c r="B3" s="65" t="s">
        <v>92</v>
      </c>
      <c r="C3" s="65" t="s">
        <v>93</v>
      </c>
    </row>
    <row r="4" spans="1:3" x14ac:dyDescent="0.25">
      <c r="A4" s="59" t="s">
        <v>94</v>
      </c>
      <c r="B4" s="70" t="s">
        <v>95</v>
      </c>
      <c r="C4" s="59" t="s">
        <v>96</v>
      </c>
    </row>
    <row r="5" spans="1:3" x14ac:dyDescent="0.25">
      <c r="A5" s="59" t="s">
        <v>97</v>
      </c>
      <c r="B5" s="71">
        <v>46314</v>
      </c>
      <c r="C5" s="59" t="s">
        <v>98</v>
      </c>
    </row>
    <row r="6" spans="1:3" x14ac:dyDescent="0.25">
      <c r="A6" s="59" t="s">
        <v>99</v>
      </c>
      <c r="B6" s="72">
        <v>6</v>
      </c>
      <c r="C6" s="59" t="s">
        <v>100</v>
      </c>
    </row>
    <row r="7" spans="1:3" x14ac:dyDescent="0.25">
      <c r="A7" s="59" t="s">
        <v>101</v>
      </c>
      <c r="B7" s="73">
        <f>B5+B6-1</f>
        <v>46319</v>
      </c>
      <c r="C7" s="59" t="s">
        <v>102</v>
      </c>
    </row>
    <row r="8" spans="1:3" x14ac:dyDescent="0.25">
      <c r="A8" s="59" t="s">
        <v>103</v>
      </c>
      <c r="B8" s="72">
        <v>2</v>
      </c>
      <c r="C8" s="59" t="s">
        <v>104</v>
      </c>
    </row>
    <row r="9" spans="1:3" x14ac:dyDescent="0.25">
      <c r="A9" s="59" t="s">
        <v>105</v>
      </c>
      <c r="B9" s="72">
        <v>14</v>
      </c>
      <c r="C9" s="59" t="s">
        <v>106</v>
      </c>
    </row>
    <row r="10" spans="1:3" x14ac:dyDescent="0.25">
      <c r="A10" s="59" t="s">
        <v>107</v>
      </c>
      <c r="B10" s="74">
        <v>0.25</v>
      </c>
      <c r="C10" s="59" t="s">
        <v>108</v>
      </c>
    </row>
    <row r="11" spans="1:3" x14ac:dyDescent="0.25">
      <c r="A11" s="59" t="s">
        <v>109</v>
      </c>
      <c r="B11" s="75">
        <v>0.05</v>
      </c>
      <c r="C11" s="59" t="s">
        <v>110</v>
      </c>
    </row>
    <row r="12" spans="1:3" x14ac:dyDescent="0.25">
      <c r="A12" s="59" t="s">
        <v>111</v>
      </c>
      <c r="B12" s="76">
        <v>20000</v>
      </c>
      <c r="C12" s="59" t="s">
        <v>112</v>
      </c>
    </row>
    <row r="13" spans="1:3" x14ac:dyDescent="0.25">
      <c r="A13" s="59" t="s">
        <v>113</v>
      </c>
      <c r="B13" s="77">
        <v>1</v>
      </c>
      <c r="C13" s="59" t="s">
        <v>114</v>
      </c>
    </row>
    <row r="14" spans="1:3" x14ac:dyDescent="0.25">
      <c r="A14" s="59" t="s">
        <v>115</v>
      </c>
      <c r="B14" s="77">
        <v>0.5</v>
      </c>
      <c r="C14" s="59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showGridLines="0" zoomScaleNormal="100" workbookViewId="0">
      <pane ySplit="5" topLeftCell="A6" activePane="bottomLeft" state="frozen"/>
      <selection pane="bottomLeft" sqref="A1:XFD1048576"/>
    </sheetView>
  </sheetViews>
  <sheetFormatPr defaultColWidth="8.7109375" defaultRowHeight="15" x14ac:dyDescent="0.25"/>
  <cols>
    <col min="1" max="1" width="14" style="51" customWidth="1"/>
    <col min="2" max="2" width="32" style="51" customWidth="1"/>
    <col min="3" max="3" width="18" style="51" customWidth="1"/>
    <col min="4" max="4" width="30" style="51" customWidth="1"/>
    <col min="5" max="5" width="16" style="51" customWidth="1"/>
    <col min="6" max="6" width="15" style="51" customWidth="1"/>
    <col min="7" max="7" width="17" style="51" customWidth="1"/>
    <col min="8" max="8" width="16" style="51" customWidth="1"/>
    <col min="9" max="16384" width="8.7109375" style="51"/>
  </cols>
  <sheetData>
    <row r="1" spans="1:8" ht="18.75" x14ac:dyDescent="0.25">
      <c r="A1" s="50" t="s">
        <v>117</v>
      </c>
    </row>
    <row r="2" spans="1:8" x14ac:dyDescent="0.25">
      <c r="A2" s="52" t="s">
        <v>118</v>
      </c>
    </row>
    <row r="5" spans="1:8" ht="31.5" customHeight="1" x14ac:dyDescent="0.25">
      <c r="A5" s="65" t="s">
        <v>119</v>
      </c>
      <c r="B5" s="65" t="s">
        <v>120</v>
      </c>
      <c r="C5" s="65" t="s">
        <v>121</v>
      </c>
      <c r="D5" s="65" t="s">
        <v>122</v>
      </c>
      <c r="E5" s="65" t="s">
        <v>123</v>
      </c>
      <c r="F5" s="65" t="s">
        <v>124</v>
      </c>
      <c r="G5" s="65" t="s">
        <v>125</v>
      </c>
      <c r="H5" s="65" t="s">
        <v>126</v>
      </c>
    </row>
    <row r="6" spans="1:8" x14ac:dyDescent="0.25">
      <c r="A6" s="78" t="s">
        <v>127</v>
      </c>
      <c r="B6" s="78" t="s">
        <v>128</v>
      </c>
      <c r="C6" s="78" t="s">
        <v>129</v>
      </c>
      <c r="D6" s="78" t="s">
        <v>130</v>
      </c>
      <c r="E6" s="78" t="s">
        <v>131</v>
      </c>
      <c r="F6" s="79">
        <v>5200</v>
      </c>
      <c r="G6" s="79">
        <v>5900</v>
      </c>
      <c r="H6" s="80">
        <v>2</v>
      </c>
    </row>
    <row r="7" spans="1:8" x14ac:dyDescent="0.25">
      <c r="A7" s="78" t="s">
        <v>132</v>
      </c>
      <c r="B7" s="78" t="s">
        <v>133</v>
      </c>
      <c r="C7" s="78" t="s">
        <v>129</v>
      </c>
      <c r="D7" s="78" t="s">
        <v>130</v>
      </c>
      <c r="E7" s="78" t="s">
        <v>131</v>
      </c>
      <c r="F7" s="79">
        <v>5200</v>
      </c>
      <c r="G7" s="79">
        <v>5900</v>
      </c>
      <c r="H7" s="80">
        <v>2</v>
      </c>
    </row>
    <row r="8" spans="1:8" x14ac:dyDescent="0.25">
      <c r="A8" s="78" t="s">
        <v>134</v>
      </c>
      <c r="B8" s="78" t="s">
        <v>135</v>
      </c>
      <c r="C8" s="78" t="s">
        <v>129</v>
      </c>
      <c r="D8" s="78" t="s">
        <v>130</v>
      </c>
      <c r="E8" s="78" t="s">
        <v>136</v>
      </c>
      <c r="F8" s="79">
        <v>1900</v>
      </c>
      <c r="G8" s="79">
        <v>2300</v>
      </c>
      <c r="H8" s="80">
        <v>2</v>
      </c>
    </row>
    <row r="9" spans="1:8" x14ac:dyDescent="0.25">
      <c r="A9" s="78" t="s">
        <v>137</v>
      </c>
      <c r="B9" s="78" t="s">
        <v>138</v>
      </c>
      <c r="C9" s="78" t="s">
        <v>129</v>
      </c>
      <c r="D9" s="78" t="s">
        <v>130</v>
      </c>
      <c r="E9" s="78" t="s">
        <v>139</v>
      </c>
      <c r="F9" s="79">
        <v>9800</v>
      </c>
      <c r="G9" s="79">
        <v>11200</v>
      </c>
      <c r="H9" s="80">
        <v>2</v>
      </c>
    </row>
    <row r="10" spans="1:8" x14ac:dyDescent="0.25">
      <c r="A10" s="78" t="s">
        <v>140</v>
      </c>
      <c r="B10" s="78" t="s">
        <v>141</v>
      </c>
      <c r="C10" s="78" t="s">
        <v>142</v>
      </c>
      <c r="D10" s="78" t="s">
        <v>143</v>
      </c>
      <c r="E10" s="78" t="s">
        <v>144</v>
      </c>
      <c r="F10" s="79">
        <v>7600</v>
      </c>
      <c r="G10" s="79">
        <v>8400</v>
      </c>
      <c r="H10" s="80">
        <v>3</v>
      </c>
    </row>
    <row r="11" spans="1:8" x14ac:dyDescent="0.25">
      <c r="A11" s="78" t="s">
        <v>145</v>
      </c>
      <c r="B11" s="78" t="s">
        <v>146</v>
      </c>
      <c r="C11" s="78" t="s">
        <v>142</v>
      </c>
      <c r="D11" s="78" t="s">
        <v>143</v>
      </c>
      <c r="E11" s="78" t="s">
        <v>144</v>
      </c>
      <c r="F11" s="79">
        <v>7700</v>
      </c>
      <c r="G11" s="79">
        <v>8500</v>
      </c>
      <c r="H11" s="80">
        <v>3</v>
      </c>
    </row>
    <row r="12" spans="1:8" x14ac:dyDescent="0.25">
      <c r="A12" s="78" t="s">
        <v>147</v>
      </c>
      <c r="B12" s="78" t="s">
        <v>148</v>
      </c>
      <c r="C12" s="78" t="s">
        <v>142</v>
      </c>
      <c r="D12" s="78" t="s">
        <v>143</v>
      </c>
      <c r="E12" s="78" t="s">
        <v>149</v>
      </c>
      <c r="F12" s="79">
        <v>11500</v>
      </c>
      <c r="G12" s="79">
        <v>12800</v>
      </c>
      <c r="H12" s="80">
        <v>3</v>
      </c>
    </row>
    <row r="13" spans="1:8" x14ac:dyDescent="0.25">
      <c r="A13" s="78" t="s">
        <v>150</v>
      </c>
      <c r="B13" s="78" t="s">
        <v>151</v>
      </c>
      <c r="C13" s="78" t="s">
        <v>152</v>
      </c>
      <c r="D13" s="78" t="s">
        <v>153</v>
      </c>
      <c r="E13" s="78" t="s">
        <v>154</v>
      </c>
      <c r="F13" s="79">
        <v>38000</v>
      </c>
      <c r="G13" s="79">
        <v>41500</v>
      </c>
      <c r="H13" s="80">
        <v>4</v>
      </c>
    </row>
    <row r="14" spans="1:8" x14ac:dyDescent="0.25">
      <c r="A14" s="78" t="s">
        <v>155</v>
      </c>
      <c r="B14" s="78" t="s">
        <v>156</v>
      </c>
      <c r="C14" s="78" t="s">
        <v>152</v>
      </c>
      <c r="D14" s="78" t="s">
        <v>153</v>
      </c>
      <c r="E14" s="78" t="s">
        <v>131</v>
      </c>
      <c r="F14" s="79">
        <v>36000</v>
      </c>
      <c r="G14" s="79">
        <v>39000</v>
      </c>
      <c r="H14" s="80">
        <v>4</v>
      </c>
    </row>
    <row r="15" spans="1:8" x14ac:dyDescent="0.25">
      <c r="A15" s="78" t="s">
        <v>157</v>
      </c>
      <c r="B15" s="78" t="s">
        <v>158</v>
      </c>
      <c r="C15" s="78" t="s">
        <v>159</v>
      </c>
      <c r="D15" s="78" t="s">
        <v>160</v>
      </c>
      <c r="E15" s="78" t="s">
        <v>131</v>
      </c>
      <c r="F15" s="79">
        <v>14400</v>
      </c>
      <c r="G15" s="79">
        <v>16200</v>
      </c>
      <c r="H15" s="80">
        <v>3</v>
      </c>
    </row>
    <row r="16" spans="1:8" x14ac:dyDescent="0.25">
      <c r="A16" s="78" t="s">
        <v>161</v>
      </c>
      <c r="B16" s="78" t="s">
        <v>162</v>
      </c>
      <c r="C16" s="78" t="s">
        <v>159</v>
      </c>
      <c r="D16" s="78" t="s">
        <v>160</v>
      </c>
      <c r="E16" s="78" t="s">
        <v>139</v>
      </c>
      <c r="F16" s="79">
        <v>17000</v>
      </c>
      <c r="G16" s="79">
        <v>19000</v>
      </c>
      <c r="H16" s="80">
        <v>3</v>
      </c>
    </row>
    <row r="17" spans="1:8" x14ac:dyDescent="0.25">
      <c r="A17" s="78" t="s">
        <v>163</v>
      </c>
      <c r="B17" s="78" t="s">
        <v>164</v>
      </c>
      <c r="C17" s="78" t="s">
        <v>159</v>
      </c>
      <c r="D17" s="78" t="s">
        <v>160</v>
      </c>
      <c r="E17" s="78" t="s">
        <v>149</v>
      </c>
      <c r="F17" s="79">
        <v>9000</v>
      </c>
      <c r="G17" s="79">
        <v>10200</v>
      </c>
      <c r="H17" s="80">
        <v>3</v>
      </c>
    </row>
    <row r="18" spans="1:8" x14ac:dyDescent="0.25">
      <c r="A18" s="78" t="s">
        <v>165</v>
      </c>
      <c r="B18" s="78" t="s">
        <v>166</v>
      </c>
      <c r="C18" s="78" t="s">
        <v>167</v>
      </c>
      <c r="D18" s="78" t="s">
        <v>168</v>
      </c>
      <c r="E18" s="78" t="s">
        <v>169</v>
      </c>
      <c r="F18" s="79">
        <v>28000</v>
      </c>
      <c r="G18" s="79">
        <v>31000</v>
      </c>
      <c r="H18" s="80">
        <v>5</v>
      </c>
    </row>
    <row r="19" spans="1:8" x14ac:dyDescent="0.25">
      <c r="A19" s="78" t="s">
        <v>170</v>
      </c>
      <c r="B19" s="78" t="s">
        <v>171</v>
      </c>
      <c r="C19" s="78" t="s">
        <v>167</v>
      </c>
      <c r="D19" s="78" t="s">
        <v>168</v>
      </c>
      <c r="E19" s="78" t="s">
        <v>172</v>
      </c>
      <c r="F19" s="79">
        <v>15500</v>
      </c>
      <c r="G19" s="79">
        <v>17200</v>
      </c>
      <c r="H19" s="80">
        <v>5</v>
      </c>
    </row>
    <row r="20" spans="1:8" x14ac:dyDescent="0.25">
      <c r="A20" s="78" t="s">
        <v>173</v>
      </c>
      <c r="B20" s="78" t="s">
        <v>174</v>
      </c>
      <c r="C20" s="78" t="s">
        <v>167</v>
      </c>
      <c r="D20" s="78" t="s">
        <v>168</v>
      </c>
      <c r="E20" s="78" t="s">
        <v>139</v>
      </c>
      <c r="F20" s="79">
        <v>14000</v>
      </c>
      <c r="G20" s="79">
        <v>15500</v>
      </c>
      <c r="H20" s="80">
        <v>5</v>
      </c>
    </row>
    <row r="21" spans="1:8" x14ac:dyDescent="0.25">
      <c r="A21" s="78" t="s">
        <v>175</v>
      </c>
      <c r="B21" s="78" t="s">
        <v>176</v>
      </c>
      <c r="C21" s="78" t="s">
        <v>167</v>
      </c>
      <c r="D21" s="78" t="s">
        <v>168</v>
      </c>
      <c r="E21" s="78" t="s">
        <v>149</v>
      </c>
      <c r="F21" s="79">
        <v>17000</v>
      </c>
      <c r="G21" s="79">
        <v>18800</v>
      </c>
      <c r="H21" s="80">
        <v>5</v>
      </c>
    </row>
    <row r="22" spans="1:8" x14ac:dyDescent="0.25">
      <c r="A22" s="78" t="s">
        <v>177</v>
      </c>
      <c r="B22" s="78" t="s">
        <v>178</v>
      </c>
      <c r="C22" s="78" t="s">
        <v>167</v>
      </c>
      <c r="D22" s="78" t="s">
        <v>168</v>
      </c>
      <c r="E22" s="78" t="s">
        <v>139</v>
      </c>
      <c r="F22" s="79">
        <v>6500</v>
      </c>
      <c r="G22" s="79">
        <v>7400</v>
      </c>
      <c r="H22" s="80">
        <v>5</v>
      </c>
    </row>
    <row r="23" spans="1:8" x14ac:dyDescent="0.25">
      <c r="A23" s="78" t="s">
        <v>179</v>
      </c>
      <c r="B23" s="78" t="s">
        <v>180</v>
      </c>
      <c r="C23" s="78" t="s">
        <v>167</v>
      </c>
      <c r="D23" s="78" t="s">
        <v>168</v>
      </c>
      <c r="E23" s="78" t="s">
        <v>131</v>
      </c>
      <c r="F23" s="79">
        <v>21000</v>
      </c>
      <c r="G23" s="79">
        <v>23500</v>
      </c>
      <c r="H23" s="80">
        <v>5</v>
      </c>
    </row>
  </sheetData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8"/>
  <sheetViews>
    <sheetView showGridLines="0" zoomScaleNormal="100" workbookViewId="0">
      <pane ySplit="5" topLeftCell="A6" activePane="bottomLeft" state="frozen"/>
      <selection pane="bottomLeft" sqref="A1:XFD1048576"/>
    </sheetView>
  </sheetViews>
  <sheetFormatPr defaultColWidth="8.7109375" defaultRowHeight="15" x14ac:dyDescent="0.25"/>
  <cols>
    <col min="1" max="1" width="13" style="51" customWidth="1"/>
    <col min="2" max="2" width="10" style="51" customWidth="1"/>
    <col min="3" max="3" width="13" style="51" customWidth="1"/>
    <col min="4" max="4" width="30" style="51" customWidth="1"/>
    <col min="5" max="5" width="17" style="51" customWidth="1"/>
    <col min="6" max="6" width="15" style="51" customWidth="1"/>
    <col min="7" max="7" width="13" style="51" customWidth="1"/>
    <col min="8" max="8" width="36" style="51" customWidth="1"/>
    <col min="9" max="9" width="10" style="51" customWidth="1"/>
    <col min="10" max="10" width="14" style="51" customWidth="1"/>
    <col min="11" max="11" width="13" style="51" customWidth="1"/>
    <col min="12" max="12" width="38" style="51" customWidth="1"/>
    <col min="13" max="16384" width="8.7109375" style="51"/>
  </cols>
  <sheetData>
    <row r="1" spans="1:12" ht="18.75" x14ac:dyDescent="0.25">
      <c r="A1" s="50" t="s">
        <v>181</v>
      </c>
    </row>
    <row r="2" spans="1:12" x14ac:dyDescent="0.25">
      <c r="A2" s="52" t="s">
        <v>182</v>
      </c>
    </row>
    <row r="3" spans="1:12" x14ac:dyDescent="0.25">
      <c r="A3" s="52" t="s">
        <v>183</v>
      </c>
    </row>
    <row r="5" spans="1:12" ht="31.5" customHeight="1" x14ac:dyDescent="0.25">
      <c r="A5" s="65" t="s">
        <v>184</v>
      </c>
      <c r="B5" s="65" t="s">
        <v>185</v>
      </c>
      <c r="C5" s="65" t="s">
        <v>119</v>
      </c>
      <c r="D5" s="65" t="s">
        <v>120</v>
      </c>
      <c r="E5" s="65" t="s">
        <v>121</v>
      </c>
      <c r="F5" s="65" t="s">
        <v>186</v>
      </c>
      <c r="G5" s="65" t="s">
        <v>187</v>
      </c>
      <c r="H5" s="65" t="s">
        <v>188</v>
      </c>
      <c r="I5" s="65" t="s">
        <v>189</v>
      </c>
      <c r="J5" s="65" t="s">
        <v>190</v>
      </c>
      <c r="K5" s="65" t="s">
        <v>191</v>
      </c>
      <c r="L5" s="65" t="s">
        <v>192</v>
      </c>
    </row>
    <row r="6" spans="1:12" x14ac:dyDescent="0.25">
      <c r="A6" s="81">
        <v>46314</v>
      </c>
      <c r="B6" s="82" t="s">
        <v>193</v>
      </c>
      <c r="C6" s="82" t="s">
        <v>127</v>
      </c>
      <c r="D6" s="59" t="str">
        <f>IFERROR(INDEX(Products!$B$6:$B$60,MATCH(C6,Products!$A$6:$A$60,0)),"")</f>
        <v>Cola Soft Drink 50cl PET</v>
      </c>
      <c r="E6" s="59" t="str">
        <f>IFERROR(INDEX(Products!$C$6:$C$60,MATCH(C6,Products!$A$6:$A$60,0)),"")</f>
        <v>Beverages</v>
      </c>
      <c r="F6" s="78" t="s">
        <v>194</v>
      </c>
      <c r="G6" s="83">
        <v>27</v>
      </c>
      <c r="H6" s="78" t="s">
        <v>130</v>
      </c>
      <c r="I6" s="82" t="s">
        <v>195</v>
      </c>
      <c r="J6" s="84">
        <f>IFERROR(IF(OR(F6="Sale",F6="Sales Return"),INDEX(Products!$G$6:$G$60,MATCH(C6,Products!$A$6:$A$60,0)),INDEX(Products!$F$6:$F$60,MATCH(C6,Products!$A$6:$A$60,0))),0)</f>
        <v>5200</v>
      </c>
      <c r="K6" s="84">
        <f t="shared" ref="K6:K69" si="0">G6*J6</f>
        <v>140400</v>
      </c>
      <c r="L6" s="78" t="s">
        <v>196</v>
      </c>
    </row>
    <row r="7" spans="1:12" x14ac:dyDescent="0.25">
      <c r="A7" s="81">
        <v>46314</v>
      </c>
      <c r="B7" s="82" t="s">
        <v>197</v>
      </c>
      <c r="C7" s="82" t="s">
        <v>132</v>
      </c>
      <c r="D7" s="59" t="str">
        <f>IFERROR(INDEX(Products!$B$6:$B$60,MATCH(C7,Products!$A$6:$A$60,0)),"")</f>
        <v>Orange Soft Drink 50cl PET</v>
      </c>
      <c r="E7" s="59" t="str">
        <f>IFERROR(INDEX(Products!$C$6:$C$60,MATCH(C7,Products!$A$6:$A$60,0)),"")</f>
        <v>Beverages</v>
      </c>
      <c r="F7" s="78" t="s">
        <v>194</v>
      </c>
      <c r="G7" s="83">
        <v>36</v>
      </c>
      <c r="H7" s="78" t="s">
        <v>130</v>
      </c>
      <c r="I7" s="82" t="s">
        <v>195</v>
      </c>
      <c r="J7" s="84">
        <f>IFERROR(IF(OR(F7="Sale",F7="Sales Return"),INDEX(Products!$G$6:$G$60,MATCH(C7,Products!$A$6:$A$60,0)),INDEX(Products!$F$6:$F$60,MATCH(C7,Products!$A$6:$A$60,0))),0)</f>
        <v>5200</v>
      </c>
      <c r="K7" s="84">
        <f t="shared" si="0"/>
        <v>187200</v>
      </c>
      <c r="L7" s="78" t="s">
        <v>198</v>
      </c>
    </row>
    <row r="8" spans="1:12" x14ac:dyDescent="0.25">
      <c r="A8" s="81">
        <v>46314</v>
      </c>
      <c r="B8" s="82" t="s">
        <v>199</v>
      </c>
      <c r="C8" s="82" t="s">
        <v>134</v>
      </c>
      <c r="D8" s="59" t="str">
        <f>IFERROR(INDEX(Products!$B$6:$B$60,MATCH(C8,Products!$A$6:$A$60,0)),"")</f>
        <v>Table Water 75cl</v>
      </c>
      <c r="E8" s="59" t="str">
        <f>IFERROR(INDEX(Products!$C$6:$C$60,MATCH(C8,Products!$A$6:$A$60,0)),"")</f>
        <v>Beverages</v>
      </c>
      <c r="F8" s="78" t="s">
        <v>194</v>
      </c>
      <c r="G8" s="83">
        <v>33</v>
      </c>
      <c r="H8" s="78" t="s">
        <v>130</v>
      </c>
      <c r="I8" s="82" t="s">
        <v>200</v>
      </c>
      <c r="J8" s="84">
        <f>IFERROR(IF(OR(F8="Sale",F8="Sales Return"),INDEX(Products!$G$6:$G$60,MATCH(C8,Products!$A$6:$A$60,0)),INDEX(Products!$F$6:$F$60,MATCH(C8,Products!$A$6:$A$60,0))),0)</f>
        <v>1900</v>
      </c>
      <c r="K8" s="84">
        <f t="shared" si="0"/>
        <v>62700</v>
      </c>
      <c r="L8" s="78" t="s">
        <v>201</v>
      </c>
    </row>
    <row r="9" spans="1:12" x14ac:dyDescent="0.25">
      <c r="A9" s="81">
        <v>46314</v>
      </c>
      <c r="B9" s="82" t="s">
        <v>202</v>
      </c>
      <c r="C9" s="82" t="s">
        <v>157</v>
      </c>
      <c r="D9" s="59" t="str">
        <f>IFERROR(INDEX(Products!$B$6:$B$60,MATCH(C9,Products!$A$6:$A$60,0)),"")</f>
        <v>Detergent Powder 900g</v>
      </c>
      <c r="E9" s="59" t="str">
        <f>IFERROR(INDEX(Products!$C$6:$C$60,MATCH(C9,Products!$A$6:$A$60,0)),"")</f>
        <v>Home Care</v>
      </c>
      <c r="F9" s="78" t="s">
        <v>194</v>
      </c>
      <c r="G9" s="83">
        <v>24</v>
      </c>
      <c r="H9" s="78" t="s">
        <v>160</v>
      </c>
      <c r="I9" s="82" t="s">
        <v>195</v>
      </c>
      <c r="J9" s="84">
        <f>IFERROR(IF(OR(F9="Sale",F9="Sales Return"),INDEX(Products!$G$6:$G$60,MATCH(C9,Products!$A$6:$A$60,0)),INDEX(Products!$F$6:$F$60,MATCH(C9,Products!$A$6:$A$60,0))),0)</f>
        <v>14400</v>
      </c>
      <c r="K9" s="84">
        <f t="shared" si="0"/>
        <v>345600</v>
      </c>
      <c r="L9" s="78" t="s">
        <v>203</v>
      </c>
    </row>
    <row r="10" spans="1:12" x14ac:dyDescent="0.25">
      <c r="A10" s="81">
        <v>46314</v>
      </c>
      <c r="B10" s="82" t="s">
        <v>204</v>
      </c>
      <c r="C10" s="82" t="s">
        <v>165</v>
      </c>
      <c r="D10" s="59" t="str">
        <f>IFERROR(INDEX(Products!$B$6:$B$60,MATCH(C10,Products!$A$6:$A$60,0)),"")</f>
        <v>Evaporated Milk 160g Tin</v>
      </c>
      <c r="E10" s="59" t="str">
        <f>IFERROR(INDEX(Products!$C$6:$C$60,MATCH(C10,Products!$A$6:$A$60,0)),"")</f>
        <v>Packaged Food</v>
      </c>
      <c r="F10" s="78" t="s">
        <v>194</v>
      </c>
      <c r="G10" s="83">
        <v>14</v>
      </c>
      <c r="H10" s="78" t="s">
        <v>168</v>
      </c>
      <c r="I10" s="82" t="s">
        <v>195</v>
      </c>
      <c r="J10" s="84">
        <f>IFERROR(IF(OR(F10="Sale",F10="Sales Return"),INDEX(Products!$G$6:$G$60,MATCH(C10,Products!$A$6:$A$60,0)),INDEX(Products!$F$6:$F$60,MATCH(C10,Products!$A$6:$A$60,0))),0)</f>
        <v>28000</v>
      </c>
      <c r="K10" s="84">
        <f t="shared" si="0"/>
        <v>392000</v>
      </c>
      <c r="L10" s="78" t="s">
        <v>205</v>
      </c>
    </row>
    <row r="11" spans="1:12" x14ac:dyDescent="0.25">
      <c r="A11" s="81">
        <v>46314</v>
      </c>
      <c r="B11" s="82" t="s">
        <v>206</v>
      </c>
      <c r="C11" s="82" t="s">
        <v>170</v>
      </c>
      <c r="D11" s="59" t="str">
        <f>IFERROR(INDEX(Products!$B$6:$B$60,MATCH(C11,Products!$A$6:$A$60,0)),"")</f>
        <v>Tomato Paste 70g Sachet</v>
      </c>
      <c r="E11" s="59" t="str">
        <f>IFERROR(INDEX(Products!$C$6:$C$60,MATCH(C11,Products!$A$6:$A$60,0)),"")</f>
        <v>Packaged Food</v>
      </c>
      <c r="F11" s="78" t="s">
        <v>194</v>
      </c>
      <c r="G11" s="83">
        <v>20</v>
      </c>
      <c r="H11" s="78" t="s">
        <v>168</v>
      </c>
      <c r="I11" s="82" t="s">
        <v>195</v>
      </c>
      <c r="J11" s="84">
        <f>IFERROR(IF(OR(F11="Sale",F11="Sales Return"),INDEX(Products!$G$6:$G$60,MATCH(C11,Products!$A$6:$A$60,0)),INDEX(Products!$F$6:$F$60,MATCH(C11,Products!$A$6:$A$60,0))),0)</f>
        <v>15500</v>
      </c>
      <c r="K11" s="84">
        <f t="shared" si="0"/>
        <v>310000</v>
      </c>
      <c r="L11" s="78" t="s">
        <v>207</v>
      </c>
    </row>
    <row r="12" spans="1:12" x14ac:dyDescent="0.25">
      <c r="A12" s="81">
        <v>46314</v>
      </c>
      <c r="B12" s="82" t="s">
        <v>208</v>
      </c>
      <c r="C12" s="82" t="s">
        <v>140</v>
      </c>
      <c r="D12" s="59" t="str">
        <f>IFERROR(INDEX(Products!$B$6:$B$60,MATCH(C12,Products!$A$6:$A$60,0)),"")</f>
        <v>Instant Noodles Chicken 70g</v>
      </c>
      <c r="E12" s="59" t="str">
        <f>IFERROR(INDEX(Products!$C$6:$C$60,MATCH(C12,Products!$A$6:$A$60,0)),"")</f>
        <v>Noodles &amp; Pasta</v>
      </c>
      <c r="F12" s="78" t="s">
        <v>194</v>
      </c>
      <c r="G12" s="83">
        <v>40</v>
      </c>
      <c r="H12" s="78" t="s">
        <v>143</v>
      </c>
      <c r="I12" s="82" t="s">
        <v>195</v>
      </c>
      <c r="J12" s="84">
        <f>IFERROR(IF(OR(F12="Sale",F12="Sales Return"),INDEX(Products!$G$6:$G$60,MATCH(C12,Products!$A$6:$A$60,0)),INDEX(Products!$F$6:$F$60,MATCH(C12,Products!$A$6:$A$60,0))),0)</f>
        <v>7600</v>
      </c>
      <c r="K12" s="84">
        <f t="shared" si="0"/>
        <v>304000</v>
      </c>
      <c r="L12" s="78" t="s">
        <v>209</v>
      </c>
    </row>
    <row r="13" spans="1:12" x14ac:dyDescent="0.25">
      <c r="A13" s="81">
        <v>46314</v>
      </c>
      <c r="B13" s="82" t="s">
        <v>210</v>
      </c>
      <c r="C13" s="82" t="s">
        <v>145</v>
      </c>
      <c r="D13" s="59" t="str">
        <f>IFERROR(INDEX(Products!$B$6:$B$60,MATCH(C13,Products!$A$6:$A$60,0)),"")</f>
        <v>Instant Noodles Onion 70g</v>
      </c>
      <c r="E13" s="59" t="str">
        <f>IFERROR(INDEX(Products!$C$6:$C$60,MATCH(C13,Products!$A$6:$A$60,0)),"")</f>
        <v>Noodles &amp; Pasta</v>
      </c>
      <c r="F13" s="78" t="s">
        <v>194</v>
      </c>
      <c r="G13" s="83">
        <v>29</v>
      </c>
      <c r="H13" s="78" t="s">
        <v>143</v>
      </c>
      <c r="I13" s="82" t="s">
        <v>200</v>
      </c>
      <c r="J13" s="84">
        <f>IFERROR(IF(OR(F13="Sale",F13="Sales Return"),INDEX(Products!$G$6:$G$60,MATCH(C13,Products!$A$6:$A$60,0)),INDEX(Products!$F$6:$F$60,MATCH(C13,Products!$A$6:$A$60,0))),0)</f>
        <v>7700</v>
      </c>
      <c r="K13" s="84">
        <f t="shared" si="0"/>
        <v>223300</v>
      </c>
      <c r="L13" s="78" t="s">
        <v>211</v>
      </c>
    </row>
    <row r="14" spans="1:12" x14ac:dyDescent="0.25">
      <c r="A14" s="81">
        <v>46314</v>
      </c>
      <c r="B14" s="82" t="s">
        <v>212</v>
      </c>
      <c r="C14" s="82" t="s">
        <v>150</v>
      </c>
      <c r="D14" s="59" t="str">
        <f>IFERROR(INDEX(Products!$B$6:$B$60,MATCH(C14,Products!$A$6:$A$60,0)),"")</f>
        <v>Vegetable Oil 5L</v>
      </c>
      <c r="E14" s="59" t="str">
        <f>IFERROR(INDEX(Products!$C$6:$C$60,MATCH(C14,Products!$A$6:$A$60,0)),"")</f>
        <v>Cooking Oil</v>
      </c>
      <c r="F14" s="78" t="s">
        <v>194</v>
      </c>
      <c r="G14" s="83">
        <v>22</v>
      </c>
      <c r="H14" s="78" t="s">
        <v>153</v>
      </c>
      <c r="I14" s="82" t="s">
        <v>200</v>
      </c>
      <c r="J14" s="84">
        <f>IFERROR(IF(OR(F14="Sale",F14="Sales Return"),INDEX(Products!$G$6:$G$60,MATCH(C14,Products!$A$6:$A$60,0)),INDEX(Products!$F$6:$F$60,MATCH(C14,Products!$A$6:$A$60,0))),0)</f>
        <v>38000</v>
      </c>
      <c r="K14" s="84">
        <f t="shared" si="0"/>
        <v>836000</v>
      </c>
      <c r="L14" s="78" t="s">
        <v>213</v>
      </c>
    </row>
    <row r="15" spans="1:12" x14ac:dyDescent="0.25">
      <c r="A15" s="81">
        <v>46314</v>
      </c>
      <c r="B15" s="82" t="s">
        <v>214</v>
      </c>
      <c r="C15" s="82" t="s">
        <v>127</v>
      </c>
      <c r="D15" s="59" t="str">
        <f>IFERROR(INDEX(Products!$B$6:$B$60,MATCH(C15,Products!$A$6:$A$60,0)),"")</f>
        <v>Cola Soft Drink 50cl PET</v>
      </c>
      <c r="E15" s="59" t="str">
        <f>IFERROR(INDEX(Products!$C$6:$C$60,MATCH(C15,Products!$A$6:$A$60,0)),"")</f>
        <v>Beverages</v>
      </c>
      <c r="F15" s="78" t="s">
        <v>215</v>
      </c>
      <c r="G15" s="83">
        <v>2</v>
      </c>
      <c r="H15" s="78" t="s">
        <v>216</v>
      </c>
      <c r="I15" s="82" t="s">
        <v>195</v>
      </c>
      <c r="J15" s="84">
        <f>IFERROR(IF(OR(F15="Sale",F15="Sales Return"),INDEX(Products!$G$6:$G$60,MATCH(C15,Products!$A$6:$A$60,0)),INDEX(Products!$F$6:$F$60,MATCH(C15,Products!$A$6:$A$60,0))),0)</f>
        <v>5900</v>
      </c>
      <c r="K15" s="84">
        <f t="shared" si="0"/>
        <v>11800</v>
      </c>
      <c r="L15" s="78"/>
    </row>
    <row r="16" spans="1:12" x14ac:dyDescent="0.25">
      <c r="A16" s="81">
        <v>46314</v>
      </c>
      <c r="B16" s="82" t="s">
        <v>217</v>
      </c>
      <c r="C16" s="82" t="s">
        <v>127</v>
      </c>
      <c r="D16" s="59" t="str">
        <f>IFERROR(INDEX(Products!$B$6:$B$60,MATCH(C16,Products!$A$6:$A$60,0)),"")</f>
        <v>Cola Soft Drink 50cl PET</v>
      </c>
      <c r="E16" s="59" t="str">
        <f>IFERROR(INDEX(Products!$C$6:$C$60,MATCH(C16,Products!$A$6:$A$60,0)),"")</f>
        <v>Beverages</v>
      </c>
      <c r="F16" s="78" t="s">
        <v>215</v>
      </c>
      <c r="G16" s="83">
        <v>4</v>
      </c>
      <c r="H16" s="78" t="s">
        <v>218</v>
      </c>
      <c r="I16" s="82" t="s">
        <v>195</v>
      </c>
      <c r="J16" s="84">
        <f>IFERROR(IF(OR(F16="Sale",F16="Sales Return"),INDEX(Products!$G$6:$G$60,MATCH(C16,Products!$A$6:$A$60,0)),INDEX(Products!$F$6:$F$60,MATCH(C16,Products!$A$6:$A$60,0))),0)</f>
        <v>5900</v>
      </c>
      <c r="K16" s="84">
        <f t="shared" si="0"/>
        <v>23600</v>
      </c>
      <c r="L16" s="78"/>
    </row>
    <row r="17" spans="1:12" x14ac:dyDescent="0.25">
      <c r="A17" s="81">
        <v>46314</v>
      </c>
      <c r="B17" s="82" t="s">
        <v>219</v>
      </c>
      <c r="C17" s="82" t="s">
        <v>127</v>
      </c>
      <c r="D17" s="59" t="str">
        <f>IFERROR(INDEX(Products!$B$6:$B$60,MATCH(C17,Products!$A$6:$A$60,0)),"")</f>
        <v>Cola Soft Drink 50cl PET</v>
      </c>
      <c r="E17" s="59" t="str">
        <f>IFERROR(INDEX(Products!$C$6:$C$60,MATCH(C17,Products!$A$6:$A$60,0)),"")</f>
        <v>Beverages</v>
      </c>
      <c r="F17" s="78" t="s">
        <v>215</v>
      </c>
      <c r="G17" s="83">
        <v>3</v>
      </c>
      <c r="H17" s="78" t="s">
        <v>220</v>
      </c>
      <c r="I17" s="82" t="s">
        <v>221</v>
      </c>
      <c r="J17" s="84">
        <f>IFERROR(IF(OR(F17="Sale",F17="Sales Return"),INDEX(Products!$G$6:$G$60,MATCH(C17,Products!$A$6:$A$60,0)),INDEX(Products!$F$6:$F$60,MATCH(C17,Products!$A$6:$A$60,0))),0)</f>
        <v>5900</v>
      </c>
      <c r="K17" s="84">
        <f t="shared" si="0"/>
        <v>17700</v>
      </c>
      <c r="L17" s="78"/>
    </row>
    <row r="18" spans="1:12" x14ac:dyDescent="0.25">
      <c r="A18" s="81">
        <v>46314</v>
      </c>
      <c r="B18" s="82" t="s">
        <v>222</v>
      </c>
      <c r="C18" s="82" t="s">
        <v>132</v>
      </c>
      <c r="D18" s="59" t="str">
        <f>IFERROR(INDEX(Products!$B$6:$B$60,MATCH(C18,Products!$A$6:$A$60,0)),"")</f>
        <v>Orange Soft Drink 50cl PET</v>
      </c>
      <c r="E18" s="59" t="str">
        <f>IFERROR(INDEX(Products!$C$6:$C$60,MATCH(C18,Products!$A$6:$A$60,0)),"")</f>
        <v>Beverages</v>
      </c>
      <c r="F18" s="78" t="s">
        <v>215</v>
      </c>
      <c r="G18" s="83">
        <v>6</v>
      </c>
      <c r="H18" s="78" t="s">
        <v>216</v>
      </c>
      <c r="I18" s="82" t="s">
        <v>221</v>
      </c>
      <c r="J18" s="84">
        <f>IFERROR(IF(OR(F18="Sale",F18="Sales Return"),INDEX(Products!$G$6:$G$60,MATCH(C18,Products!$A$6:$A$60,0)),INDEX(Products!$F$6:$F$60,MATCH(C18,Products!$A$6:$A$60,0))),0)</f>
        <v>5900</v>
      </c>
      <c r="K18" s="84">
        <f t="shared" si="0"/>
        <v>35400</v>
      </c>
      <c r="L18" s="78"/>
    </row>
    <row r="19" spans="1:12" x14ac:dyDescent="0.25">
      <c r="A19" s="81">
        <v>46314</v>
      </c>
      <c r="B19" s="82" t="s">
        <v>223</v>
      </c>
      <c r="C19" s="82" t="s">
        <v>134</v>
      </c>
      <c r="D19" s="59" t="str">
        <f>IFERROR(INDEX(Products!$B$6:$B$60,MATCH(C19,Products!$A$6:$A$60,0)),"")</f>
        <v>Table Water 75cl</v>
      </c>
      <c r="E19" s="59" t="str">
        <f>IFERROR(INDEX(Products!$C$6:$C$60,MATCH(C19,Products!$A$6:$A$60,0)),"")</f>
        <v>Beverages</v>
      </c>
      <c r="F19" s="78" t="s">
        <v>215</v>
      </c>
      <c r="G19" s="83">
        <v>12</v>
      </c>
      <c r="H19" s="78" t="s">
        <v>216</v>
      </c>
      <c r="I19" s="82" t="s">
        <v>221</v>
      </c>
      <c r="J19" s="84">
        <f>IFERROR(IF(OR(F19="Sale",F19="Sales Return"),INDEX(Products!$G$6:$G$60,MATCH(C19,Products!$A$6:$A$60,0)),INDEX(Products!$F$6:$F$60,MATCH(C19,Products!$A$6:$A$60,0))),0)</f>
        <v>2300</v>
      </c>
      <c r="K19" s="84">
        <f t="shared" si="0"/>
        <v>27600</v>
      </c>
      <c r="L19" s="78"/>
    </row>
    <row r="20" spans="1:12" x14ac:dyDescent="0.25">
      <c r="A20" s="81">
        <v>46314</v>
      </c>
      <c r="B20" s="82" t="s">
        <v>224</v>
      </c>
      <c r="C20" s="82" t="s">
        <v>137</v>
      </c>
      <c r="D20" s="59" t="str">
        <f>IFERROR(INDEX(Products!$B$6:$B$60,MATCH(C20,Products!$A$6:$A$60,0)),"")</f>
        <v>Malt Drink 33cl Can</v>
      </c>
      <c r="E20" s="59" t="str">
        <f>IFERROR(INDEX(Products!$C$6:$C$60,MATCH(C20,Products!$A$6:$A$60,0)),"")</f>
        <v>Beverages</v>
      </c>
      <c r="F20" s="78" t="s">
        <v>215</v>
      </c>
      <c r="G20" s="83">
        <v>1</v>
      </c>
      <c r="H20" s="78" t="s">
        <v>216</v>
      </c>
      <c r="I20" s="82" t="s">
        <v>195</v>
      </c>
      <c r="J20" s="84">
        <f>IFERROR(IF(OR(F20="Sale",F20="Sales Return"),INDEX(Products!$G$6:$G$60,MATCH(C20,Products!$A$6:$A$60,0)),INDEX(Products!$F$6:$F$60,MATCH(C20,Products!$A$6:$A$60,0))),0)</f>
        <v>11200</v>
      </c>
      <c r="K20" s="84">
        <f t="shared" si="0"/>
        <v>11200</v>
      </c>
      <c r="L20" s="78"/>
    </row>
    <row r="21" spans="1:12" x14ac:dyDescent="0.25">
      <c r="A21" s="81">
        <v>46314</v>
      </c>
      <c r="B21" s="82" t="s">
        <v>225</v>
      </c>
      <c r="C21" s="82" t="s">
        <v>137</v>
      </c>
      <c r="D21" s="59" t="str">
        <f>IFERROR(INDEX(Products!$B$6:$B$60,MATCH(C21,Products!$A$6:$A$60,0)),"")</f>
        <v>Malt Drink 33cl Can</v>
      </c>
      <c r="E21" s="59" t="str">
        <f>IFERROR(INDEX(Products!$C$6:$C$60,MATCH(C21,Products!$A$6:$A$60,0)),"")</f>
        <v>Beverages</v>
      </c>
      <c r="F21" s="78" t="s">
        <v>215</v>
      </c>
      <c r="G21" s="83">
        <v>1</v>
      </c>
      <c r="H21" s="78" t="s">
        <v>226</v>
      </c>
      <c r="I21" s="82" t="s">
        <v>200</v>
      </c>
      <c r="J21" s="84">
        <f>IFERROR(IF(OR(F21="Sale",F21="Sales Return"),INDEX(Products!$G$6:$G$60,MATCH(C21,Products!$A$6:$A$60,0)),INDEX(Products!$F$6:$F$60,MATCH(C21,Products!$A$6:$A$60,0))),0)</f>
        <v>11200</v>
      </c>
      <c r="K21" s="84">
        <f t="shared" si="0"/>
        <v>11200</v>
      </c>
      <c r="L21" s="78"/>
    </row>
    <row r="22" spans="1:12" x14ac:dyDescent="0.25">
      <c r="A22" s="81">
        <v>46314</v>
      </c>
      <c r="B22" s="82" t="s">
        <v>227</v>
      </c>
      <c r="C22" s="82" t="s">
        <v>137</v>
      </c>
      <c r="D22" s="59" t="str">
        <f>IFERROR(INDEX(Products!$B$6:$B$60,MATCH(C22,Products!$A$6:$A$60,0)),"")</f>
        <v>Malt Drink 33cl Can</v>
      </c>
      <c r="E22" s="59" t="str">
        <f>IFERROR(INDEX(Products!$C$6:$C$60,MATCH(C22,Products!$A$6:$A$60,0)),"")</f>
        <v>Beverages</v>
      </c>
      <c r="F22" s="78" t="s">
        <v>215</v>
      </c>
      <c r="G22" s="83">
        <v>1</v>
      </c>
      <c r="H22" s="78" t="s">
        <v>216</v>
      </c>
      <c r="I22" s="82" t="s">
        <v>195</v>
      </c>
      <c r="J22" s="84">
        <f>IFERROR(IF(OR(F22="Sale",F22="Sales Return"),INDEX(Products!$G$6:$G$60,MATCH(C22,Products!$A$6:$A$60,0)),INDEX(Products!$F$6:$F$60,MATCH(C22,Products!$A$6:$A$60,0))),0)</f>
        <v>11200</v>
      </c>
      <c r="K22" s="84">
        <f t="shared" si="0"/>
        <v>11200</v>
      </c>
      <c r="L22" s="78"/>
    </row>
    <row r="23" spans="1:12" x14ac:dyDescent="0.25">
      <c r="A23" s="81">
        <v>46314</v>
      </c>
      <c r="B23" s="82" t="s">
        <v>228</v>
      </c>
      <c r="C23" s="82" t="s">
        <v>157</v>
      </c>
      <c r="D23" s="59" t="str">
        <f>IFERROR(INDEX(Products!$B$6:$B$60,MATCH(C23,Products!$A$6:$A$60,0)),"")</f>
        <v>Detergent Powder 900g</v>
      </c>
      <c r="E23" s="59" t="str">
        <f>IFERROR(INDEX(Products!$C$6:$C$60,MATCH(C23,Products!$A$6:$A$60,0)),"")</f>
        <v>Home Care</v>
      </c>
      <c r="F23" s="78" t="s">
        <v>215</v>
      </c>
      <c r="G23" s="83">
        <v>2</v>
      </c>
      <c r="H23" s="78" t="s">
        <v>220</v>
      </c>
      <c r="I23" s="82" t="s">
        <v>195</v>
      </c>
      <c r="J23" s="84">
        <f>IFERROR(IF(OR(F23="Sale",F23="Sales Return"),INDEX(Products!$G$6:$G$60,MATCH(C23,Products!$A$6:$A$60,0)),INDEX(Products!$F$6:$F$60,MATCH(C23,Products!$A$6:$A$60,0))),0)</f>
        <v>16200</v>
      </c>
      <c r="K23" s="84">
        <f t="shared" si="0"/>
        <v>32400</v>
      </c>
      <c r="L23" s="78"/>
    </row>
    <row r="24" spans="1:12" x14ac:dyDescent="0.25">
      <c r="A24" s="81">
        <v>46314</v>
      </c>
      <c r="B24" s="82" t="s">
        <v>229</v>
      </c>
      <c r="C24" s="82" t="s">
        <v>157</v>
      </c>
      <c r="D24" s="59" t="str">
        <f>IFERROR(INDEX(Products!$B$6:$B$60,MATCH(C24,Products!$A$6:$A$60,0)),"")</f>
        <v>Detergent Powder 900g</v>
      </c>
      <c r="E24" s="59" t="str">
        <f>IFERROR(INDEX(Products!$C$6:$C$60,MATCH(C24,Products!$A$6:$A$60,0)),"")</f>
        <v>Home Care</v>
      </c>
      <c r="F24" s="78" t="s">
        <v>215</v>
      </c>
      <c r="G24" s="83">
        <v>3</v>
      </c>
      <c r="H24" s="78" t="s">
        <v>230</v>
      </c>
      <c r="I24" s="82" t="s">
        <v>221</v>
      </c>
      <c r="J24" s="84">
        <f>IFERROR(IF(OR(F24="Sale",F24="Sales Return"),INDEX(Products!$G$6:$G$60,MATCH(C24,Products!$A$6:$A$60,0)),INDEX(Products!$F$6:$F$60,MATCH(C24,Products!$A$6:$A$60,0))),0)</f>
        <v>16200</v>
      </c>
      <c r="K24" s="84">
        <f t="shared" si="0"/>
        <v>48600</v>
      </c>
      <c r="L24" s="78"/>
    </row>
    <row r="25" spans="1:12" x14ac:dyDescent="0.25">
      <c r="A25" s="81">
        <v>46314</v>
      </c>
      <c r="B25" s="82" t="s">
        <v>231</v>
      </c>
      <c r="C25" s="82" t="s">
        <v>161</v>
      </c>
      <c r="D25" s="59" t="str">
        <f>IFERROR(INDEX(Products!$B$6:$B$60,MATCH(C25,Products!$A$6:$A$60,0)),"")</f>
        <v>Detergent Powder 400g</v>
      </c>
      <c r="E25" s="59" t="str">
        <f>IFERROR(INDEX(Products!$C$6:$C$60,MATCH(C25,Products!$A$6:$A$60,0)),"")</f>
        <v>Home Care</v>
      </c>
      <c r="F25" s="78" t="s">
        <v>215</v>
      </c>
      <c r="G25" s="83">
        <v>2</v>
      </c>
      <c r="H25" s="78" t="s">
        <v>232</v>
      </c>
      <c r="I25" s="82" t="s">
        <v>200</v>
      </c>
      <c r="J25" s="84">
        <f>IFERROR(IF(OR(F25="Sale",F25="Sales Return"),INDEX(Products!$G$6:$G$60,MATCH(C25,Products!$A$6:$A$60,0)),INDEX(Products!$F$6:$F$60,MATCH(C25,Products!$A$6:$A$60,0))),0)</f>
        <v>19000</v>
      </c>
      <c r="K25" s="84">
        <f t="shared" si="0"/>
        <v>38000</v>
      </c>
      <c r="L25" s="78"/>
    </row>
    <row r="26" spans="1:12" x14ac:dyDescent="0.25">
      <c r="A26" s="81">
        <v>46314</v>
      </c>
      <c r="B26" s="82" t="s">
        <v>233</v>
      </c>
      <c r="C26" s="82" t="s">
        <v>161</v>
      </c>
      <c r="D26" s="59" t="str">
        <f>IFERROR(INDEX(Products!$B$6:$B$60,MATCH(C26,Products!$A$6:$A$60,0)),"")</f>
        <v>Detergent Powder 400g</v>
      </c>
      <c r="E26" s="59" t="str">
        <f>IFERROR(INDEX(Products!$C$6:$C$60,MATCH(C26,Products!$A$6:$A$60,0)),"")</f>
        <v>Home Care</v>
      </c>
      <c r="F26" s="78" t="s">
        <v>215</v>
      </c>
      <c r="G26" s="83">
        <v>1</v>
      </c>
      <c r="H26" s="78" t="s">
        <v>234</v>
      </c>
      <c r="I26" s="82" t="s">
        <v>195</v>
      </c>
      <c r="J26" s="84">
        <f>IFERROR(IF(OR(F26="Sale",F26="Sales Return"),INDEX(Products!$G$6:$G$60,MATCH(C26,Products!$A$6:$A$60,0)),INDEX(Products!$F$6:$F$60,MATCH(C26,Products!$A$6:$A$60,0))),0)</f>
        <v>19000</v>
      </c>
      <c r="K26" s="84">
        <f t="shared" si="0"/>
        <v>19000</v>
      </c>
      <c r="L26" s="78"/>
    </row>
    <row r="27" spans="1:12" x14ac:dyDescent="0.25">
      <c r="A27" s="81">
        <v>46314</v>
      </c>
      <c r="B27" s="82" t="s">
        <v>235</v>
      </c>
      <c r="C27" s="82" t="s">
        <v>161</v>
      </c>
      <c r="D27" s="59" t="str">
        <f>IFERROR(INDEX(Products!$B$6:$B$60,MATCH(C27,Products!$A$6:$A$60,0)),"")</f>
        <v>Detergent Powder 400g</v>
      </c>
      <c r="E27" s="59" t="str">
        <f>IFERROR(INDEX(Products!$C$6:$C$60,MATCH(C27,Products!$A$6:$A$60,0)),"")</f>
        <v>Home Care</v>
      </c>
      <c r="F27" s="78" t="s">
        <v>215</v>
      </c>
      <c r="G27" s="83">
        <v>2</v>
      </c>
      <c r="H27" s="78" t="s">
        <v>220</v>
      </c>
      <c r="I27" s="82" t="s">
        <v>221</v>
      </c>
      <c r="J27" s="84">
        <f>IFERROR(IF(OR(F27="Sale",F27="Sales Return"),INDEX(Products!$G$6:$G$60,MATCH(C27,Products!$A$6:$A$60,0)),INDEX(Products!$F$6:$F$60,MATCH(C27,Products!$A$6:$A$60,0))),0)</f>
        <v>19000</v>
      </c>
      <c r="K27" s="84">
        <f t="shared" si="0"/>
        <v>38000</v>
      </c>
      <c r="L27" s="78"/>
    </row>
    <row r="28" spans="1:12" x14ac:dyDescent="0.25">
      <c r="A28" s="81">
        <v>46314</v>
      </c>
      <c r="B28" s="82" t="s">
        <v>236</v>
      </c>
      <c r="C28" s="82" t="s">
        <v>165</v>
      </c>
      <c r="D28" s="59" t="str">
        <f>IFERROR(INDEX(Products!$B$6:$B$60,MATCH(C28,Products!$A$6:$A$60,0)),"")</f>
        <v>Evaporated Milk 160g Tin</v>
      </c>
      <c r="E28" s="59" t="str">
        <f>IFERROR(INDEX(Products!$C$6:$C$60,MATCH(C28,Products!$A$6:$A$60,0)),"")</f>
        <v>Packaged Food</v>
      </c>
      <c r="F28" s="78" t="s">
        <v>215</v>
      </c>
      <c r="G28" s="83">
        <v>2</v>
      </c>
      <c r="H28" s="78" t="s">
        <v>230</v>
      </c>
      <c r="I28" s="82" t="s">
        <v>221</v>
      </c>
      <c r="J28" s="84">
        <f>IFERROR(IF(OR(F28="Sale",F28="Sales Return"),INDEX(Products!$G$6:$G$60,MATCH(C28,Products!$A$6:$A$60,0)),INDEX(Products!$F$6:$F$60,MATCH(C28,Products!$A$6:$A$60,0))),0)</f>
        <v>31000</v>
      </c>
      <c r="K28" s="84">
        <f t="shared" si="0"/>
        <v>62000</v>
      </c>
      <c r="L28" s="78"/>
    </row>
    <row r="29" spans="1:12" x14ac:dyDescent="0.25">
      <c r="A29" s="81">
        <v>46314</v>
      </c>
      <c r="B29" s="82" t="s">
        <v>237</v>
      </c>
      <c r="C29" s="82" t="s">
        <v>170</v>
      </c>
      <c r="D29" s="59" t="str">
        <f>IFERROR(INDEX(Products!$B$6:$B$60,MATCH(C29,Products!$A$6:$A$60,0)),"")</f>
        <v>Tomato Paste 70g Sachet</v>
      </c>
      <c r="E29" s="59" t="str">
        <f>IFERROR(INDEX(Products!$C$6:$C$60,MATCH(C29,Products!$A$6:$A$60,0)),"")</f>
        <v>Packaged Food</v>
      </c>
      <c r="F29" s="78" t="s">
        <v>215</v>
      </c>
      <c r="G29" s="83">
        <v>1</v>
      </c>
      <c r="H29" s="78" t="s">
        <v>234</v>
      </c>
      <c r="I29" s="82" t="s">
        <v>195</v>
      </c>
      <c r="J29" s="84">
        <f>IFERROR(IF(OR(F29="Sale",F29="Sales Return"),INDEX(Products!$G$6:$G$60,MATCH(C29,Products!$A$6:$A$60,0)),INDEX(Products!$F$6:$F$60,MATCH(C29,Products!$A$6:$A$60,0))),0)</f>
        <v>17200</v>
      </c>
      <c r="K29" s="84">
        <f t="shared" si="0"/>
        <v>17200</v>
      </c>
      <c r="L29" s="78"/>
    </row>
    <row r="30" spans="1:12" x14ac:dyDescent="0.25">
      <c r="A30" s="81">
        <v>46314</v>
      </c>
      <c r="B30" s="82" t="s">
        <v>238</v>
      </c>
      <c r="C30" s="82" t="s">
        <v>170</v>
      </c>
      <c r="D30" s="59" t="str">
        <f>IFERROR(INDEX(Products!$B$6:$B$60,MATCH(C30,Products!$A$6:$A$60,0)),"")</f>
        <v>Tomato Paste 70g Sachet</v>
      </c>
      <c r="E30" s="59" t="str">
        <f>IFERROR(INDEX(Products!$C$6:$C$60,MATCH(C30,Products!$A$6:$A$60,0)),"")</f>
        <v>Packaged Food</v>
      </c>
      <c r="F30" s="78" t="s">
        <v>215</v>
      </c>
      <c r="G30" s="83">
        <v>1</v>
      </c>
      <c r="H30" s="78" t="s">
        <v>226</v>
      </c>
      <c r="I30" s="82" t="s">
        <v>200</v>
      </c>
      <c r="J30" s="84">
        <f>IFERROR(IF(OR(F30="Sale",F30="Sales Return"),INDEX(Products!$G$6:$G$60,MATCH(C30,Products!$A$6:$A$60,0)),INDEX(Products!$F$6:$F$60,MATCH(C30,Products!$A$6:$A$60,0))),0)</f>
        <v>17200</v>
      </c>
      <c r="K30" s="84">
        <f t="shared" si="0"/>
        <v>17200</v>
      </c>
      <c r="L30" s="78"/>
    </row>
    <row r="31" spans="1:12" x14ac:dyDescent="0.25">
      <c r="A31" s="81">
        <v>46314</v>
      </c>
      <c r="B31" s="82" t="s">
        <v>239</v>
      </c>
      <c r="C31" s="82" t="s">
        <v>170</v>
      </c>
      <c r="D31" s="59" t="str">
        <f>IFERROR(INDEX(Products!$B$6:$B$60,MATCH(C31,Products!$A$6:$A$60,0)),"")</f>
        <v>Tomato Paste 70g Sachet</v>
      </c>
      <c r="E31" s="59" t="str">
        <f>IFERROR(INDEX(Products!$C$6:$C$60,MATCH(C31,Products!$A$6:$A$60,0)),"")</f>
        <v>Packaged Food</v>
      </c>
      <c r="F31" s="78" t="s">
        <v>215</v>
      </c>
      <c r="G31" s="83">
        <v>2</v>
      </c>
      <c r="H31" s="78" t="s">
        <v>220</v>
      </c>
      <c r="I31" s="82" t="s">
        <v>200</v>
      </c>
      <c r="J31" s="84">
        <f>IFERROR(IF(OR(F31="Sale",F31="Sales Return"),INDEX(Products!$G$6:$G$60,MATCH(C31,Products!$A$6:$A$60,0)),INDEX(Products!$F$6:$F$60,MATCH(C31,Products!$A$6:$A$60,0))),0)</f>
        <v>17200</v>
      </c>
      <c r="K31" s="84">
        <f t="shared" si="0"/>
        <v>34400</v>
      </c>
      <c r="L31" s="78"/>
    </row>
    <row r="32" spans="1:12" x14ac:dyDescent="0.25">
      <c r="A32" s="81">
        <v>46314</v>
      </c>
      <c r="B32" s="82" t="s">
        <v>240</v>
      </c>
      <c r="C32" s="82" t="s">
        <v>173</v>
      </c>
      <c r="D32" s="59" t="str">
        <f>IFERROR(INDEX(Products!$B$6:$B$60,MATCH(C32,Products!$A$6:$A$60,0)),"")</f>
        <v>Seasoning Cubes</v>
      </c>
      <c r="E32" s="59" t="str">
        <f>IFERROR(INDEX(Products!$C$6:$C$60,MATCH(C32,Products!$A$6:$A$60,0)),"")</f>
        <v>Packaged Food</v>
      </c>
      <c r="F32" s="78" t="s">
        <v>215</v>
      </c>
      <c r="G32" s="83">
        <v>2</v>
      </c>
      <c r="H32" s="78" t="s">
        <v>218</v>
      </c>
      <c r="I32" s="82" t="s">
        <v>221</v>
      </c>
      <c r="J32" s="84">
        <f>IFERROR(IF(OR(F32="Sale",F32="Sales Return"),INDEX(Products!$G$6:$G$60,MATCH(C32,Products!$A$6:$A$60,0)),INDEX(Products!$F$6:$F$60,MATCH(C32,Products!$A$6:$A$60,0))),0)</f>
        <v>15500</v>
      </c>
      <c r="K32" s="84">
        <f t="shared" si="0"/>
        <v>31000</v>
      </c>
      <c r="L32" s="78"/>
    </row>
    <row r="33" spans="1:12" x14ac:dyDescent="0.25">
      <c r="A33" s="81">
        <v>46314</v>
      </c>
      <c r="B33" s="82" t="s">
        <v>241</v>
      </c>
      <c r="C33" s="82" t="s">
        <v>173</v>
      </c>
      <c r="D33" s="59" t="str">
        <f>IFERROR(INDEX(Products!$B$6:$B$60,MATCH(C33,Products!$A$6:$A$60,0)),"")</f>
        <v>Seasoning Cubes</v>
      </c>
      <c r="E33" s="59" t="str">
        <f>IFERROR(INDEX(Products!$C$6:$C$60,MATCH(C33,Products!$A$6:$A$60,0)),"")</f>
        <v>Packaged Food</v>
      </c>
      <c r="F33" s="78" t="s">
        <v>215</v>
      </c>
      <c r="G33" s="83">
        <v>1</v>
      </c>
      <c r="H33" s="78" t="s">
        <v>242</v>
      </c>
      <c r="I33" s="82" t="s">
        <v>200</v>
      </c>
      <c r="J33" s="84">
        <f>IFERROR(IF(OR(F33="Sale",F33="Sales Return"),INDEX(Products!$G$6:$G$60,MATCH(C33,Products!$A$6:$A$60,0)),INDEX(Products!$F$6:$F$60,MATCH(C33,Products!$A$6:$A$60,0))),0)</f>
        <v>15500</v>
      </c>
      <c r="K33" s="84">
        <f t="shared" si="0"/>
        <v>15500</v>
      </c>
      <c r="L33" s="78"/>
    </row>
    <row r="34" spans="1:12" x14ac:dyDescent="0.25">
      <c r="A34" s="81">
        <v>46314</v>
      </c>
      <c r="B34" s="82" t="s">
        <v>243</v>
      </c>
      <c r="C34" s="82" t="s">
        <v>175</v>
      </c>
      <c r="D34" s="59" t="str">
        <f>IFERROR(INDEX(Products!$B$6:$B$60,MATCH(C34,Products!$A$6:$A$60,0)),"")</f>
        <v>Granulated Sugar 500g</v>
      </c>
      <c r="E34" s="59" t="str">
        <f>IFERROR(INDEX(Products!$C$6:$C$60,MATCH(C34,Products!$A$6:$A$60,0)),"")</f>
        <v>Packaged Food</v>
      </c>
      <c r="F34" s="78" t="s">
        <v>215</v>
      </c>
      <c r="G34" s="83">
        <v>1</v>
      </c>
      <c r="H34" s="78" t="s">
        <v>216</v>
      </c>
      <c r="I34" s="82" t="s">
        <v>195</v>
      </c>
      <c r="J34" s="84">
        <f>IFERROR(IF(OR(F34="Sale",F34="Sales Return"),INDEX(Products!$G$6:$G$60,MATCH(C34,Products!$A$6:$A$60,0)),INDEX(Products!$F$6:$F$60,MATCH(C34,Products!$A$6:$A$60,0))),0)</f>
        <v>18800</v>
      </c>
      <c r="K34" s="84">
        <f t="shared" si="0"/>
        <v>18800</v>
      </c>
      <c r="L34" s="78"/>
    </row>
    <row r="35" spans="1:12" x14ac:dyDescent="0.25">
      <c r="A35" s="81">
        <v>46314</v>
      </c>
      <c r="B35" s="82" t="s">
        <v>244</v>
      </c>
      <c r="C35" s="82" t="s">
        <v>175</v>
      </c>
      <c r="D35" s="59" t="str">
        <f>IFERROR(INDEX(Products!$B$6:$B$60,MATCH(C35,Products!$A$6:$A$60,0)),"")</f>
        <v>Granulated Sugar 500g</v>
      </c>
      <c r="E35" s="59" t="str">
        <f>IFERROR(INDEX(Products!$C$6:$C$60,MATCH(C35,Products!$A$6:$A$60,0)),"")</f>
        <v>Packaged Food</v>
      </c>
      <c r="F35" s="78" t="s">
        <v>215</v>
      </c>
      <c r="G35" s="83">
        <v>1</v>
      </c>
      <c r="H35" s="78" t="s">
        <v>232</v>
      </c>
      <c r="I35" s="82" t="s">
        <v>200</v>
      </c>
      <c r="J35" s="84">
        <f>IFERROR(IF(OR(F35="Sale",F35="Sales Return"),INDEX(Products!$G$6:$G$60,MATCH(C35,Products!$A$6:$A$60,0)),INDEX(Products!$F$6:$F$60,MATCH(C35,Products!$A$6:$A$60,0))),0)</f>
        <v>18800</v>
      </c>
      <c r="K35" s="84">
        <f t="shared" si="0"/>
        <v>18800</v>
      </c>
      <c r="L35" s="78"/>
    </row>
    <row r="36" spans="1:12" x14ac:dyDescent="0.25">
      <c r="A36" s="81">
        <v>46314</v>
      </c>
      <c r="B36" s="82" t="s">
        <v>245</v>
      </c>
      <c r="C36" s="82" t="s">
        <v>175</v>
      </c>
      <c r="D36" s="59" t="str">
        <f>IFERROR(INDEX(Products!$B$6:$B$60,MATCH(C36,Products!$A$6:$A$60,0)),"")</f>
        <v>Granulated Sugar 500g</v>
      </c>
      <c r="E36" s="59" t="str">
        <f>IFERROR(INDEX(Products!$C$6:$C$60,MATCH(C36,Products!$A$6:$A$60,0)),"")</f>
        <v>Packaged Food</v>
      </c>
      <c r="F36" s="78" t="s">
        <v>215</v>
      </c>
      <c r="G36" s="83">
        <v>1</v>
      </c>
      <c r="H36" s="78" t="s">
        <v>216</v>
      </c>
      <c r="I36" s="82" t="s">
        <v>195</v>
      </c>
      <c r="J36" s="84">
        <f>IFERROR(IF(OR(F36="Sale",F36="Sales Return"),INDEX(Products!$G$6:$G$60,MATCH(C36,Products!$A$6:$A$60,0)),INDEX(Products!$F$6:$F$60,MATCH(C36,Products!$A$6:$A$60,0))),0)</f>
        <v>18800</v>
      </c>
      <c r="K36" s="84">
        <f t="shared" si="0"/>
        <v>18800</v>
      </c>
      <c r="L36" s="78"/>
    </row>
    <row r="37" spans="1:12" x14ac:dyDescent="0.25">
      <c r="A37" s="81">
        <v>46314</v>
      </c>
      <c r="B37" s="82" t="s">
        <v>246</v>
      </c>
      <c r="C37" s="82" t="s">
        <v>179</v>
      </c>
      <c r="D37" s="59" t="str">
        <f>IFERROR(INDEX(Products!$B$6:$B$60,MATCH(C37,Products!$A$6:$A$60,0)),"")</f>
        <v>Cocoa Beverage Powder 400g</v>
      </c>
      <c r="E37" s="59" t="str">
        <f>IFERROR(INDEX(Products!$C$6:$C$60,MATCH(C37,Products!$A$6:$A$60,0)),"")</f>
        <v>Packaged Food</v>
      </c>
      <c r="F37" s="78" t="s">
        <v>215</v>
      </c>
      <c r="G37" s="83">
        <v>1</v>
      </c>
      <c r="H37" s="78" t="s">
        <v>216</v>
      </c>
      <c r="I37" s="82" t="s">
        <v>221</v>
      </c>
      <c r="J37" s="84">
        <f>IFERROR(IF(OR(F37="Sale",F37="Sales Return"),INDEX(Products!$G$6:$G$60,MATCH(C37,Products!$A$6:$A$60,0)),INDEX(Products!$F$6:$F$60,MATCH(C37,Products!$A$6:$A$60,0))),0)</f>
        <v>23500</v>
      </c>
      <c r="K37" s="84">
        <f t="shared" si="0"/>
        <v>23500</v>
      </c>
      <c r="L37" s="78"/>
    </row>
    <row r="38" spans="1:12" x14ac:dyDescent="0.25">
      <c r="A38" s="81">
        <v>46314</v>
      </c>
      <c r="B38" s="82" t="s">
        <v>247</v>
      </c>
      <c r="C38" s="82" t="s">
        <v>140</v>
      </c>
      <c r="D38" s="59" t="str">
        <f>IFERROR(INDEX(Products!$B$6:$B$60,MATCH(C38,Products!$A$6:$A$60,0)),"")</f>
        <v>Instant Noodles Chicken 70g</v>
      </c>
      <c r="E38" s="59" t="str">
        <f>IFERROR(INDEX(Products!$C$6:$C$60,MATCH(C38,Products!$A$6:$A$60,0)),"")</f>
        <v>Noodles &amp; Pasta</v>
      </c>
      <c r="F38" s="78" t="s">
        <v>215</v>
      </c>
      <c r="G38" s="83">
        <v>1</v>
      </c>
      <c r="H38" s="78" t="s">
        <v>234</v>
      </c>
      <c r="I38" s="82" t="s">
        <v>195</v>
      </c>
      <c r="J38" s="84">
        <f>IFERROR(IF(OR(F38="Sale",F38="Sales Return"),INDEX(Products!$G$6:$G$60,MATCH(C38,Products!$A$6:$A$60,0)),INDEX(Products!$F$6:$F$60,MATCH(C38,Products!$A$6:$A$60,0))),0)</f>
        <v>8400</v>
      </c>
      <c r="K38" s="84">
        <f t="shared" si="0"/>
        <v>8400</v>
      </c>
      <c r="L38" s="78"/>
    </row>
    <row r="39" spans="1:12" x14ac:dyDescent="0.25">
      <c r="A39" s="81">
        <v>46314</v>
      </c>
      <c r="B39" s="82" t="s">
        <v>248</v>
      </c>
      <c r="C39" s="82" t="s">
        <v>140</v>
      </c>
      <c r="D39" s="59" t="str">
        <f>IFERROR(INDEX(Products!$B$6:$B$60,MATCH(C39,Products!$A$6:$A$60,0)),"")</f>
        <v>Instant Noodles Chicken 70g</v>
      </c>
      <c r="E39" s="59" t="str">
        <f>IFERROR(INDEX(Products!$C$6:$C$60,MATCH(C39,Products!$A$6:$A$60,0)),"")</f>
        <v>Noodles &amp; Pasta</v>
      </c>
      <c r="F39" s="78" t="s">
        <v>215</v>
      </c>
      <c r="G39" s="83">
        <v>8</v>
      </c>
      <c r="H39" s="78" t="s">
        <v>234</v>
      </c>
      <c r="I39" s="82" t="s">
        <v>195</v>
      </c>
      <c r="J39" s="84">
        <f>IFERROR(IF(OR(F39="Sale",F39="Sales Return"),INDEX(Products!$G$6:$G$60,MATCH(C39,Products!$A$6:$A$60,0)),INDEX(Products!$F$6:$F$60,MATCH(C39,Products!$A$6:$A$60,0))),0)</f>
        <v>8400</v>
      </c>
      <c r="K39" s="84">
        <f t="shared" si="0"/>
        <v>67200</v>
      </c>
      <c r="L39" s="78"/>
    </row>
    <row r="40" spans="1:12" x14ac:dyDescent="0.25">
      <c r="A40" s="81">
        <v>46314</v>
      </c>
      <c r="B40" s="82" t="s">
        <v>249</v>
      </c>
      <c r="C40" s="82" t="s">
        <v>140</v>
      </c>
      <c r="D40" s="59" t="str">
        <f>IFERROR(INDEX(Products!$B$6:$B$60,MATCH(C40,Products!$A$6:$A$60,0)),"")</f>
        <v>Instant Noodles Chicken 70g</v>
      </c>
      <c r="E40" s="59" t="str">
        <f>IFERROR(INDEX(Products!$C$6:$C$60,MATCH(C40,Products!$A$6:$A$60,0)),"")</f>
        <v>Noodles &amp; Pasta</v>
      </c>
      <c r="F40" s="78" t="s">
        <v>215</v>
      </c>
      <c r="G40" s="83">
        <v>2</v>
      </c>
      <c r="H40" s="78" t="s">
        <v>220</v>
      </c>
      <c r="I40" s="82" t="s">
        <v>221</v>
      </c>
      <c r="J40" s="84">
        <f>IFERROR(IF(OR(F40="Sale",F40="Sales Return"),INDEX(Products!$G$6:$G$60,MATCH(C40,Products!$A$6:$A$60,0)),INDEX(Products!$F$6:$F$60,MATCH(C40,Products!$A$6:$A$60,0))),0)</f>
        <v>8400</v>
      </c>
      <c r="K40" s="84">
        <f t="shared" si="0"/>
        <v>16800</v>
      </c>
      <c r="L40" s="78"/>
    </row>
    <row r="41" spans="1:12" x14ac:dyDescent="0.25">
      <c r="A41" s="81">
        <v>46314</v>
      </c>
      <c r="B41" s="82" t="s">
        <v>250</v>
      </c>
      <c r="C41" s="82" t="s">
        <v>145</v>
      </c>
      <c r="D41" s="59" t="str">
        <f>IFERROR(INDEX(Products!$B$6:$B$60,MATCH(C41,Products!$A$6:$A$60,0)),"")</f>
        <v>Instant Noodles Onion 70g</v>
      </c>
      <c r="E41" s="59" t="str">
        <f>IFERROR(INDEX(Products!$C$6:$C$60,MATCH(C41,Products!$A$6:$A$60,0)),"")</f>
        <v>Noodles &amp; Pasta</v>
      </c>
      <c r="F41" s="78" t="s">
        <v>215</v>
      </c>
      <c r="G41" s="83">
        <v>3</v>
      </c>
      <c r="H41" s="78" t="s">
        <v>232</v>
      </c>
      <c r="I41" s="82" t="s">
        <v>221</v>
      </c>
      <c r="J41" s="84">
        <f>IFERROR(IF(OR(F41="Sale",F41="Sales Return"),INDEX(Products!$G$6:$G$60,MATCH(C41,Products!$A$6:$A$60,0)),INDEX(Products!$F$6:$F$60,MATCH(C41,Products!$A$6:$A$60,0))),0)</f>
        <v>8500</v>
      </c>
      <c r="K41" s="84">
        <f t="shared" si="0"/>
        <v>25500</v>
      </c>
      <c r="L41" s="78"/>
    </row>
    <row r="42" spans="1:12" x14ac:dyDescent="0.25">
      <c r="A42" s="81">
        <v>46314</v>
      </c>
      <c r="B42" s="82" t="s">
        <v>251</v>
      </c>
      <c r="C42" s="82" t="s">
        <v>145</v>
      </c>
      <c r="D42" s="59" t="str">
        <f>IFERROR(INDEX(Products!$B$6:$B$60,MATCH(C42,Products!$A$6:$A$60,0)),"")</f>
        <v>Instant Noodles Onion 70g</v>
      </c>
      <c r="E42" s="59" t="str">
        <f>IFERROR(INDEX(Products!$C$6:$C$60,MATCH(C42,Products!$A$6:$A$60,0)),"")</f>
        <v>Noodles &amp; Pasta</v>
      </c>
      <c r="F42" s="78" t="s">
        <v>215</v>
      </c>
      <c r="G42" s="83">
        <v>2</v>
      </c>
      <c r="H42" s="78" t="s">
        <v>218</v>
      </c>
      <c r="I42" s="82" t="s">
        <v>200</v>
      </c>
      <c r="J42" s="84">
        <f>IFERROR(IF(OR(F42="Sale",F42="Sales Return"),INDEX(Products!$G$6:$G$60,MATCH(C42,Products!$A$6:$A$60,0)),INDEX(Products!$F$6:$F$60,MATCH(C42,Products!$A$6:$A$60,0))),0)</f>
        <v>8500</v>
      </c>
      <c r="K42" s="84">
        <f t="shared" si="0"/>
        <v>17000</v>
      </c>
      <c r="L42" s="78"/>
    </row>
    <row r="43" spans="1:12" x14ac:dyDescent="0.25">
      <c r="A43" s="81">
        <v>46314</v>
      </c>
      <c r="B43" s="82" t="s">
        <v>252</v>
      </c>
      <c r="C43" s="82" t="s">
        <v>147</v>
      </c>
      <c r="D43" s="59" t="str">
        <f>IFERROR(INDEX(Products!$B$6:$B$60,MATCH(C43,Products!$A$6:$A$60,0)),"")</f>
        <v>Spaghetti 500g</v>
      </c>
      <c r="E43" s="59" t="str">
        <f>IFERROR(INDEX(Products!$C$6:$C$60,MATCH(C43,Products!$A$6:$A$60,0)),"")</f>
        <v>Noodles &amp; Pasta</v>
      </c>
      <c r="F43" s="78" t="s">
        <v>215</v>
      </c>
      <c r="G43" s="83">
        <v>2</v>
      </c>
      <c r="H43" s="78" t="s">
        <v>230</v>
      </c>
      <c r="I43" s="82" t="s">
        <v>200</v>
      </c>
      <c r="J43" s="84">
        <f>IFERROR(IF(OR(F43="Sale",F43="Sales Return"),INDEX(Products!$G$6:$G$60,MATCH(C43,Products!$A$6:$A$60,0)),INDEX(Products!$F$6:$F$60,MATCH(C43,Products!$A$6:$A$60,0))),0)</f>
        <v>12800</v>
      </c>
      <c r="K43" s="84">
        <f t="shared" si="0"/>
        <v>25600</v>
      </c>
      <c r="L43" s="78"/>
    </row>
    <row r="44" spans="1:12" x14ac:dyDescent="0.25">
      <c r="A44" s="81">
        <v>46314</v>
      </c>
      <c r="B44" s="82" t="s">
        <v>253</v>
      </c>
      <c r="C44" s="82" t="s">
        <v>150</v>
      </c>
      <c r="D44" s="59" t="str">
        <f>IFERROR(INDEX(Products!$B$6:$B$60,MATCH(C44,Products!$A$6:$A$60,0)),"")</f>
        <v>Vegetable Oil 5L</v>
      </c>
      <c r="E44" s="59" t="str">
        <f>IFERROR(INDEX(Products!$C$6:$C$60,MATCH(C44,Products!$A$6:$A$60,0)),"")</f>
        <v>Cooking Oil</v>
      </c>
      <c r="F44" s="78" t="s">
        <v>215</v>
      </c>
      <c r="G44" s="83">
        <v>1</v>
      </c>
      <c r="H44" s="78" t="s">
        <v>234</v>
      </c>
      <c r="I44" s="82" t="s">
        <v>195</v>
      </c>
      <c r="J44" s="84">
        <f>IFERROR(IF(OR(F44="Sale",F44="Sales Return"),INDEX(Products!$G$6:$G$60,MATCH(C44,Products!$A$6:$A$60,0)),INDEX(Products!$F$6:$F$60,MATCH(C44,Products!$A$6:$A$60,0))),0)</f>
        <v>41500</v>
      </c>
      <c r="K44" s="84">
        <f t="shared" si="0"/>
        <v>41500</v>
      </c>
      <c r="L44" s="78"/>
    </row>
    <row r="45" spans="1:12" x14ac:dyDescent="0.25">
      <c r="A45" s="81">
        <v>46314</v>
      </c>
      <c r="B45" s="82" t="s">
        <v>254</v>
      </c>
      <c r="C45" s="82" t="s">
        <v>150</v>
      </c>
      <c r="D45" s="59" t="str">
        <f>IFERROR(INDEX(Products!$B$6:$B$60,MATCH(C45,Products!$A$6:$A$60,0)),"")</f>
        <v>Vegetable Oil 5L</v>
      </c>
      <c r="E45" s="59" t="str">
        <f>IFERROR(INDEX(Products!$C$6:$C$60,MATCH(C45,Products!$A$6:$A$60,0)),"")</f>
        <v>Cooking Oil</v>
      </c>
      <c r="F45" s="78" t="s">
        <v>215</v>
      </c>
      <c r="G45" s="83">
        <v>1</v>
      </c>
      <c r="H45" s="78" t="s">
        <v>232</v>
      </c>
      <c r="I45" s="82" t="s">
        <v>195</v>
      </c>
      <c r="J45" s="84">
        <f>IFERROR(IF(OR(F45="Sale",F45="Sales Return"),INDEX(Products!$G$6:$G$60,MATCH(C45,Products!$A$6:$A$60,0)),INDEX(Products!$F$6:$F$60,MATCH(C45,Products!$A$6:$A$60,0))),0)</f>
        <v>41500</v>
      </c>
      <c r="K45" s="84">
        <f t="shared" si="0"/>
        <v>41500</v>
      </c>
      <c r="L45" s="78"/>
    </row>
    <row r="46" spans="1:12" x14ac:dyDescent="0.25">
      <c r="A46" s="81">
        <v>46314</v>
      </c>
      <c r="B46" s="82" t="s">
        <v>255</v>
      </c>
      <c r="C46" s="82" t="s">
        <v>150</v>
      </c>
      <c r="D46" s="59" t="str">
        <f>IFERROR(INDEX(Products!$B$6:$B$60,MATCH(C46,Products!$A$6:$A$60,0)),"")</f>
        <v>Vegetable Oil 5L</v>
      </c>
      <c r="E46" s="59" t="str">
        <f>IFERROR(INDEX(Products!$C$6:$C$60,MATCH(C46,Products!$A$6:$A$60,0)),"")</f>
        <v>Cooking Oil</v>
      </c>
      <c r="F46" s="78" t="s">
        <v>215</v>
      </c>
      <c r="G46" s="83">
        <v>1</v>
      </c>
      <c r="H46" s="78" t="s">
        <v>232</v>
      </c>
      <c r="I46" s="82" t="s">
        <v>200</v>
      </c>
      <c r="J46" s="84">
        <f>IFERROR(IF(OR(F46="Sale",F46="Sales Return"),INDEX(Products!$G$6:$G$60,MATCH(C46,Products!$A$6:$A$60,0)),INDEX(Products!$F$6:$F$60,MATCH(C46,Products!$A$6:$A$60,0))),0)</f>
        <v>41500</v>
      </c>
      <c r="K46" s="84">
        <f t="shared" si="0"/>
        <v>41500</v>
      </c>
      <c r="L46" s="78"/>
    </row>
    <row r="47" spans="1:12" x14ac:dyDescent="0.25">
      <c r="A47" s="81">
        <v>46314</v>
      </c>
      <c r="B47" s="82" t="s">
        <v>256</v>
      </c>
      <c r="C47" s="82" t="s">
        <v>155</v>
      </c>
      <c r="D47" s="59" t="str">
        <f>IFERROR(INDEX(Products!$B$6:$B$60,MATCH(C47,Products!$A$6:$A$60,0)),"")</f>
        <v>Vegetable Oil 1L</v>
      </c>
      <c r="E47" s="59" t="str">
        <f>IFERROR(INDEX(Products!$C$6:$C$60,MATCH(C47,Products!$A$6:$A$60,0)),"")</f>
        <v>Cooking Oil</v>
      </c>
      <c r="F47" s="78" t="s">
        <v>215</v>
      </c>
      <c r="G47" s="83">
        <v>1</v>
      </c>
      <c r="H47" s="78" t="s">
        <v>232</v>
      </c>
      <c r="I47" s="82" t="s">
        <v>200</v>
      </c>
      <c r="J47" s="84">
        <f>IFERROR(IF(OR(F47="Sale",F47="Sales Return"),INDEX(Products!$G$6:$G$60,MATCH(C47,Products!$A$6:$A$60,0)),INDEX(Products!$F$6:$F$60,MATCH(C47,Products!$A$6:$A$60,0))),0)</f>
        <v>39000</v>
      </c>
      <c r="K47" s="84">
        <f t="shared" si="0"/>
        <v>39000</v>
      </c>
      <c r="L47" s="78"/>
    </row>
    <row r="48" spans="1:12" x14ac:dyDescent="0.25">
      <c r="A48" s="81">
        <v>46314</v>
      </c>
      <c r="B48" s="82" t="s">
        <v>257</v>
      </c>
      <c r="C48" s="82" t="s">
        <v>132</v>
      </c>
      <c r="D48" s="59" t="str">
        <f>IFERROR(INDEX(Products!$B$6:$B$60,MATCH(C48,Products!$A$6:$A$60,0)),"")</f>
        <v>Orange Soft Drink 50cl PET</v>
      </c>
      <c r="E48" s="59" t="str">
        <f>IFERROR(INDEX(Products!$C$6:$C$60,MATCH(C48,Products!$A$6:$A$60,0)),"")</f>
        <v>Beverages</v>
      </c>
      <c r="F48" s="78" t="s">
        <v>258</v>
      </c>
      <c r="G48" s="83">
        <v>1</v>
      </c>
      <c r="H48" s="78" t="s">
        <v>259</v>
      </c>
      <c r="I48" s="82"/>
      <c r="J48" s="84">
        <f>IFERROR(IF(OR(F48="Sale",F48="Sales Return"),INDEX(Products!$G$6:$G$60,MATCH(C48,Products!$A$6:$A$60,0)),INDEX(Products!$F$6:$F$60,MATCH(C48,Products!$A$6:$A$60,0))),0)</f>
        <v>5200</v>
      </c>
      <c r="K48" s="84">
        <f t="shared" si="0"/>
        <v>5200</v>
      </c>
      <c r="L48" s="78" t="s">
        <v>260</v>
      </c>
    </row>
    <row r="49" spans="1:12" x14ac:dyDescent="0.25">
      <c r="A49" s="81">
        <v>46315</v>
      </c>
      <c r="B49" s="82" t="s">
        <v>261</v>
      </c>
      <c r="C49" s="82" t="s">
        <v>157</v>
      </c>
      <c r="D49" s="59" t="str">
        <f>IFERROR(INDEX(Products!$B$6:$B$60,MATCH(C49,Products!$A$6:$A$60,0)),"")</f>
        <v>Detergent Powder 900g</v>
      </c>
      <c r="E49" s="59" t="str">
        <f>IFERROR(INDEX(Products!$C$6:$C$60,MATCH(C49,Products!$A$6:$A$60,0)),"")</f>
        <v>Home Care</v>
      </c>
      <c r="F49" s="78" t="s">
        <v>262</v>
      </c>
      <c r="G49" s="83">
        <v>1</v>
      </c>
      <c r="H49" s="78" t="s">
        <v>218</v>
      </c>
      <c r="I49" s="82"/>
      <c r="J49" s="84">
        <f>IFERROR(IF(OR(F49="Sale",F49="Sales Return"),INDEX(Products!$G$6:$G$60,MATCH(C49,Products!$A$6:$A$60,0)),INDEX(Products!$F$6:$F$60,MATCH(C49,Products!$A$6:$A$60,0))),0)</f>
        <v>16200</v>
      </c>
      <c r="K49" s="84">
        <f t="shared" si="0"/>
        <v>16200</v>
      </c>
      <c r="L49" s="78" t="s">
        <v>263</v>
      </c>
    </row>
    <row r="50" spans="1:12" x14ac:dyDescent="0.25">
      <c r="A50" s="81">
        <v>46315</v>
      </c>
      <c r="B50" s="82" t="s">
        <v>264</v>
      </c>
      <c r="C50" s="82" t="s">
        <v>127</v>
      </c>
      <c r="D50" s="59" t="str">
        <f>IFERROR(INDEX(Products!$B$6:$B$60,MATCH(C50,Products!$A$6:$A$60,0)),"")</f>
        <v>Cola Soft Drink 50cl PET</v>
      </c>
      <c r="E50" s="59" t="str">
        <f>IFERROR(INDEX(Products!$C$6:$C$60,MATCH(C50,Products!$A$6:$A$60,0)),"")</f>
        <v>Beverages</v>
      </c>
      <c r="F50" s="78" t="s">
        <v>215</v>
      </c>
      <c r="G50" s="83">
        <v>4</v>
      </c>
      <c r="H50" s="78" t="s">
        <v>242</v>
      </c>
      <c r="I50" s="82" t="s">
        <v>200</v>
      </c>
      <c r="J50" s="84">
        <f>IFERROR(IF(OR(F50="Sale",F50="Sales Return"),INDEX(Products!$G$6:$G$60,MATCH(C50,Products!$A$6:$A$60,0)),INDEX(Products!$F$6:$F$60,MATCH(C50,Products!$A$6:$A$60,0))),0)</f>
        <v>5900</v>
      </c>
      <c r="K50" s="84">
        <f t="shared" si="0"/>
        <v>23600</v>
      </c>
      <c r="L50" s="78"/>
    </row>
    <row r="51" spans="1:12" x14ac:dyDescent="0.25">
      <c r="A51" s="81">
        <v>46315</v>
      </c>
      <c r="B51" s="82" t="s">
        <v>265</v>
      </c>
      <c r="C51" s="82" t="s">
        <v>127</v>
      </c>
      <c r="D51" s="59" t="str">
        <f>IFERROR(INDEX(Products!$B$6:$B$60,MATCH(C51,Products!$A$6:$A$60,0)),"")</f>
        <v>Cola Soft Drink 50cl PET</v>
      </c>
      <c r="E51" s="59" t="str">
        <f>IFERROR(INDEX(Products!$C$6:$C$60,MATCH(C51,Products!$A$6:$A$60,0)),"")</f>
        <v>Beverages</v>
      </c>
      <c r="F51" s="78" t="s">
        <v>215</v>
      </c>
      <c r="G51" s="83">
        <v>2</v>
      </c>
      <c r="H51" s="78" t="s">
        <v>242</v>
      </c>
      <c r="I51" s="82" t="s">
        <v>200</v>
      </c>
      <c r="J51" s="84">
        <f>IFERROR(IF(OR(F51="Sale",F51="Sales Return"),INDEX(Products!$G$6:$G$60,MATCH(C51,Products!$A$6:$A$60,0)),INDEX(Products!$F$6:$F$60,MATCH(C51,Products!$A$6:$A$60,0))),0)</f>
        <v>5900</v>
      </c>
      <c r="K51" s="84">
        <f t="shared" si="0"/>
        <v>11800</v>
      </c>
      <c r="L51" s="78"/>
    </row>
    <row r="52" spans="1:12" x14ac:dyDescent="0.25">
      <c r="A52" s="81">
        <v>46315</v>
      </c>
      <c r="B52" s="82" t="s">
        <v>266</v>
      </c>
      <c r="C52" s="82" t="s">
        <v>132</v>
      </c>
      <c r="D52" s="59" t="str">
        <f>IFERROR(INDEX(Products!$B$6:$B$60,MATCH(C52,Products!$A$6:$A$60,0)),"")</f>
        <v>Orange Soft Drink 50cl PET</v>
      </c>
      <c r="E52" s="59" t="str">
        <f>IFERROR(INDEX(Products!$C$6:$C$60,MATCH(C52,Products!$A$6:$A$60,0)),"")</f>
        <v>Beverages</v>
      </c>
      <c r="F52" s="78" t="s">
        <v>215</v>
      </c>
      <c r="G52" s="83">
        <v>6</v>
      </c>
      <c r="H52" s="78" t="s">
        <v>226</v>
      </c>
      <c r="I52" s="82" t="s">
        <v>195</v>
      </c>
      <c r="J52" s="84">
        <f>IFERROR(IF(OR(F52="Sale",F52="Sales Return"),INDEX(Products!$G$6:$G$60,MATCH(C52,Products!$A$6:$A$60,0)),INDEX(Products!$F$6:$F$60,MATCH(C52,Products!$A$6:$A$60,0))),0)</f>
        <v>5900</v>
      </c>
      <c r="K52" s="84">
        <f t="shared" si="0"/>
        <v>35400</v>
      </c>
      <c r="L52" s="78"/>
    </row>
    <row r="53" spans="1:12" x14ac:dyDescent="0.25">
      <c r="A53" s="81">
        <v>46315</v>
      </c>
      <c r="B53" s="82" t="s">
        <v>267</v>
      </c>
      <c r="C53" s="82" t="s">
        <v>134</v>
      </c>
      <c r="D53" s="59" t="str">
        <f>IFERROR(INDEX(Products!$B$6:$B$60,MATCH(C53,Products!$A$6:$A$60,0)),"")</f>
        <v>Table Water 75cl</v>
      </c>
      <c r="E53" s="59" t="str">
        <f>IFERROR(INDEX(Products!$C$6:$C$60,MATCH(C53,Products!$A$6:$A$60,0)),"")</f>
        <v>Beverages</v>
      </c>
      <c r="F53" s="78" t="s">
        <v>215</v>
      </c>
      <c r="G53" s="83">
        <v>7</v>
      </c>
      <c r="H53" s="78" t="s">
        <v>232</v>
      </c>
      <c r="I53" s="82" t="s">
        <v>200</v>
      </c>
      <c r="J53" s="84">
        <f>IFERROR(IF(OR(F53="Sale",F53="Sales Return"),INDEX(Products!$G$6:$G$60,MATCH(C53,Products!$A$6:$A$60,0)),INDEX(Products!$F$6:$F$60,MATCH(C53,Products!$A$6:$A$60,0))),0)</f>
        <v>2300</v>
      </c>
      <c r="K53" s="84">
        <f t="shared" si="0"/>
        <v>16100</v>
      </c>
      <c r="L53" s="78"/>
    </row>
    <row r="54" spans="1:12" x14ac:dyDescent="0.25">
      <c r="A54" s="81">
        <v>46315</v>
      </c>
      <c r="B54" s="82" t="s">
        <v>268</v>
      </c>
      <c r="C54" s="82" t="s">
        <v>134</v>
      </c>
      <c r="D54" s="59" t="str">
        <f>IFERROR(INDEX(Products!$B$6:$B$60,MATCH(C54,Products!$A$6:$A$60,0)),"")</f>
        <v>Table Water 75cl</v>
      </c>
      <c r="E54" s="59" t="str">
        <f>IFERROR(INDEX(Products!$C$6:$C$60,MATCH(C54,Products!$A$6:$A$60,0)),"")</f>
        <v>Beverages</v>
      </c>
      <c r="F54" s="78" t="s">
        <v>215</v>
      </c>
      <c r="G54" s="83">
        <v>7</v>
      </c>
      <c r="H54" s="78" t="s">
        <v>230</v>
      </c>
      <c r="I54" s="82" t="s">
        <v>200</v>
      </c>
      <c r="J54" s="84">
        <f>IFERROR(IF(OR(F54="Sale",F54="Sales Return"),INDEX(Products!$G$6:$G$60,MATCH(C54,Products!$A$6:$A$60,0)),INDEX(Products!$F$6:$F$60,MATCH(C54,Products!$A$6:$A$60,0))),0)</f>
        <v>2300</v>
      </c>
      <c r="K54" s="84">
        <f t="shared" si="0"/>
        <v>16100</v>
      </c>
      <c r="L54" s="78"/>
    </row>
    <row r="55" spans="1:12" x14ac:dyDescent="0.25">
      <c r="A55" s="81">
        <v>46315</v>
      </c>
      <c r="B55" s="82" t="s">
        <v>269</v>
      </c>
      <c r="C55" s="82" t="s">
        <v>137</v>
      </c>
      <c r="D55" s="59" t="str">
        <f>IFERROR(INDEX(Products!$B$6:$B$60,MATCH(C55,Products!$A$6:$A$60,0)),"")</f>
        <v>Malt Drink 33cl Can</v>
      </c>
      <c r="E55" s="59" t="str">
        <f>IFERROR(INDEX(Products!$C$6:$C$60,MATCH(C55,Products!$A$6:$A$60,0)),"")</f>
        <v>Beverages</v>
      </c>
      <c r="F55" s="78" t="s">
        <v>215</v>
      </c>
      <c r="G55" s="83">
        <v>2</v>
      </c>
      <c r="H55" s="78" t="s">
        <v>216</v>
      </c>
      <c r="I55" s="82" t="s">
        <v>195</v>
      </c>
      <c r="J55" s="84">
        <f>IFERROR(IF(OR(F55="Sale",F55="Sales Return"),INDEX(Products!$G$6:$G$60,MATCH(C55,Products!$A$6:$A$60,0)),INDEX(Products!$F$6:$F$60,MATCH(C55,Products!$A$6:$A$60,0))),0)</f>
        <v>11200</v>
      </c>
      <c r="K55" s="84">
        <f t="shared" si="0"/>
        <v>22400</v>
      </c>
      <c r="L55" s="78"/>
    </row>
    <row r="56" spans="1:12" x14ac:dyDescent="0.25">
      <c r="A56" s="81">
        <v>46315</v>
      </c>
      <c r="B56" s="82" t="s">
        <v>270</v>
      </c>
      <c r="C56" s="82" t="s">
        <v>157</v>
      </c>
      <c r="D56" s="59" t="str">
        <f>IFERROR(INDEX(Products!$B$6:$B$60,MATCH(C56,Products!$A$6:$A$60,0)),"")</f>
        <v>Detergent Powder 900g</v>
      </c>
      <c r="E56" s="59" t="str">
        <f>IFERROR(INDEX(Products!$C$6:$C$60,MATCH(C56,Products!$A$6:$A$60,0)),"")</f>
        <v>Home Care</v>
      </c>
      <c r="F56" s="78" t="s">
        <v>215</v>
      </c>
      <c r="G56" s="83">
        <v>2</v>
      </c>
      <c r="H56" s="78" t="s">
        <v>232</v>
      </c>
      <c r="I56" s="82" t="s">
        <v>195</v>
      </c>
      <c r="J56" s="84">
        <f>IFERROR(IF(OR(F56="Sale",F56="Sales Return"),INDEX(Products!$G$6:$G$60,MATCH(C56,Products!$A$6:$A$60,0)),INDEX(Products!$F$6:$F$60,MATCH(C56,Products!$A$6:$A$60,0))),0)</f>
        <v>16200</v>
      </c>
      <c r="K56" s="84">
        <f t="shared" si="0"/>
        <v>32400</v>
      </c>
      <c r="L56" s="78"/>
    </row>
    <row r="57" spans="1:12" x14ac:dyDescent="0.25">
      <c r="A57" s="81">
        <v>46315</v>
      </c>
      <c r="B57" s="82" t="s">
        <v>271</v>
      </c>
      <c r="C57" s="82" t="s">
        <v>157</v>
      </c>
      <c r="D57" s="59" t="str">
        <f>IFERROR(INDEX(Products!$B$6:$B$60,MATCH(C57,Products!$A$6:$A$60,0)),"")</f>
        <v>Detergent Powder 900g</v>
      </c>
      <c r="E57" s="59" t="str">
        <f>IFERROR(INDEX(Products!$C$6:$C$60,MATCH(C57,Products!$A$6:$A$60,0)),"")</f>
        <v>Home Care</v>
      </c>
      <c r="F57" s="78" t="s">
        <v>215</v>
      </c>
      <c r="G57" s="83">
        <v>1</v>
      </c>
      <c r="H57" s="78" t="s">
        <v>226</v>
      </c>
      <c r="I57" s="82" t="s">
        <v>195</v>
      </c>
      <c r="J57" s="84">
        <f>IFERROR(IF(OR(F57="Sale",F57="Sales Return"),INDEX(Products!$G$6:$G$60,MATCH(C57,Products!$A$6:$A$60,0)),INDEX(Products!$F$6:$F$60,MATCH(C57,Products!$A$6:$A$60,0))),0)</f>
        <v>16200</v>
      </c>
      <c r="K57" s="84">
        <f t="shared" si="0"/>
        <v>16200</v>
      </c>
      <c r="L57" s="78"/>
    </row>
    <row r="58" spans="1:12" x14ac:dyDescent="0.25">
      <c r="A58" s="81">
        <v>46315</v>
      </c>
      <c r="B58" s="82" t="s">
        <v>272</v>
      </c>
      <c r="C58" s="82" t="s">
        <v>161</v>
      </c>
      <c r="D58" s="59" t="str">
        <f>IFERROR(INDEX(Products!$B$6:$B$60,MATCH(C58,Products!$A$6:$A$60,0)),"")</f>
        <v>Detergent Powder 400g</v>
      </c>
      <c r="E58" s="59" t="str">
        <f>IFERROR(INDEX(Products!$C$6:$C$60,MATCH(C58,Products!$A$6:$A$60,0)),"")</f>
        <v>Home Care</v>
      </c>
      <c r="F58" s="78" t="s">
        <v>215</v>
      </c>
      <c r="G58" s="83">
        <v>1</v>
      </c>
      <c r="H58" s="78" t="s">
        <v>216</v>
      </c>
      <c r="I58" s="82" t="s">
        <v>195</v>
      </c>
      <c r="J58" s="84">
        <f>IFERROR(IF(OR(F58="Sale",F58="Sales Return"),INDEX(Products!$G$6:$G$60,MATCH(C58,Products!$A$6:$A$60,0)),INDEX(Products!$F$6:$F$60,MATCH(C58,Products!$A$6:$A$60,0))),0)</f>
        <v>19000</v>
      </c>
      <c r="K58" s="84">
        <f t="shared" si="0"/>
        <v>19000</v>
      </c>
      <c r="L58" s="78"/>
    </row>
    <row r="59" spans="1:12" x14ac:dyDescent="0.25">
      <c r="A59" s="81">
        <v>46315</v>
      </c>
      <c r="B59" s="82" t="s">
        <v>273</v>
      </c>
      <c r="C59" s="82" t="s">
        <v>165</v>
      </c>
      <c r="D59" s="59" t="str">
        <f>IFERROR(INDEX(Products!$B$6:$B$60,MATCH(C59,Products!$A$6:$A$60,0)),"")</f>
        <v>Evaporated Milk 160g Tin</v>
      </c>
      <c r="E59" s="59" t="str">
        <f>IFERROR(INDEX(Products!$C$6:$C$60,MATCH(C59,Products!$A$6:$A$60,0)),"")</f>
        <v>Packaged Food</v>
      </c>
      <c r="F59" s="78" t="s">
        <v>215</v>
      </c>
      <c r="G59" s="83">
        <v>2</v>
      </c>
      <c r="H59" s="78" t="s">
        <v>218</v>
      </c>
      <c r="I59" s="82" t="s">
        <v>200</v>
      </c>
      <c r="J59" s="84">
        <f>IFERROR(IF(OR(F59="Sale",F59="Sales Return"),INDEX(Products!$G$6:$G$60,MATCH(C59,Products!$A$6:$A$60,0)),INDEX(Products!$F$6:$F$60,MATCH(C59,Products!$A$6:$A$60,0))),0)</f>
        <v>31000</v>
      </c>
      <c r="K59" s="84">
        <f t="shared" si="0"/>
        <v>62000</v>
      </c>
      <c r="L59" s="78"/>
    </row>
    <row r="60" spans="1:12" x14ac:dyDescent="0.25">
      <c r="A60" s="81">
        <v>46315</v>
      </c>
      <c r="B60" s="82" t="s">
        <v>274</v>
      </c>
      <c r="C60" s="82" t="s">
        <v>170</v>
      </c>
      <c r="D60" s="59" t="str">
        <f>IFERROR(INDEX(Products!$B$6:$B$60,MATCH(C60,Products!$A$6:$A$60,0)),"")</f>
        <v>Tomato Paste 70g Sachet</v>
      </c>
      <c r="E60" s="59" t="str">
        <f>IFERROR(INDEX(Products!$C$6:$C$60,MATCH(C60,Products!$A$6:$A$60,0)),"")</f>
        <v>Packaged Food</v>
      </c>
      <c r="F60" s="78" t="s">
        <v>215</v>
      </c>
      <c r="G60" s="83">
        <v>1</v>
      </c>
      <c r="H60" s="78" t="s">
        <v>218</v>
      </c>
      <c r="I60" s="82" t="s">
        <v>221</v>
      </c>
      <c r="J60" s="84">
        <f>IFERROR(IF(OR(F60="Sale",F60="Sales Return"),INDEX(Products!$G$6:$G$60,MATCH(C60,Products!$A$6:$A$60,0)),INDEX(Products!$F$6:$F$60,MATCH(C60,Products!$A$6:$A$60,0))),0)</f>
        <v>17200</v>
      </c>
      <c r="K60" s="84">
        <f t="shared" si="0"/>
        <v>17200</v>
      </c>
      <c r="L60" s="78"/>
    </row>
    <row r="61" spans="1:12" x14ac:dyDescent="0.25">
      <c r="A61" s="81">
        <v>46315</v>
      </c>
      <c r="B61" s="82" t="s">
        <v>275</v>
      </c>
      <c r="C61" s="82" t="s">
        <v>170</v>
      </c>
      <c r="D61" s="59" t="str">
        <f>IFERROR(INDEX(Products!$B$6:$B$60,MATCH(C61,Products!$A$6:$A$60,0)),"")</f>
        <v>Tomato Paste 70g Sachet</v>
      </c>
      <c r="E61" s="59" t="str">
        <f>IFERROR(INDEX(Products!$C$6:$C$60,MATCH(C61,Products!$A$6:$A$60,0)),"")</f>
        <v>Packaged Food</v>
      </c>
      <c r="F61" s="78" t="s">
        <v>215</v>
      </c>
      <c r="G61" s="83">
        <v>4</v>
      </c>
      <c r="H61" s="78" t="s">
        <v>226</v>
      </c>
      <c r="I61" s="82" t="s">
        <v>200</v>
      </c>
      <c r="J61" s="84">
        <f>IFERROR(IF(OR(F61="Sale",F61="Sales Return"),INDEX(Products!$G$6:$G$60,MATCH(C61,Products!$A$6:$A$60,0)),INDEX(Products!$F$6:$F$60,MATCH(C61,Products!$A$6:$A$60,0))),0)</f>
        <v>17200</v>
      </c>
      <c r="K61" s="84">
        <f t="shared" si="0"/>
        <v>68800</v>
      </c>
      <c r="L61" s="78"/>
    </row>
    <row r="62" spans="1:12" x14ac:dyDescent="0.25">
      <c r="A62" s="81">
        <v>46315</v>
      </c>
      <c r="B62" s="82" t="s">
        <v>276</v>
      </c>
      <c r="C62" s="82" t="s">
        <v>173</v>
      </c>
      <c r="D62" s="59" t="str">
        <f>IFERROR(INDEX(Products!$B$6:$B$60,MATCH(C62,Products!$A$6:$A$60,0)),"")</f>
        <v>Seasoning Cubes</v>
      </c>
      <c r="E62" s="59" t="str">
        <f>IFERROR(INDEX(Products!$C$6:$C$60,MATCH(C62,Products!$A$6:$A$60,0)),"")</f>
        <v>Packaged Food</v>
      </c>
      <c r="F62" s="78" t="s">
        <v>215</v>
      </c>
      <c r="G62" s="83">
        <v>2</v>
      </c>
      <c r="H62" s="78" t="s">
        <v>216</v>
      </c>
      <c r="I62" s="82" t="s">
        <v>195</v>
      </c>
      <c r="J62" s="84">
        <f>IFERROR(IF(OR(F62="Sale",F62="Sales Return"),INDEX(Products!$G$6:$G$60,MATCH(C62,Products!$A$6:$A$60,0)),INDEX(Products!$F$6:$F$60,MATCH(C62,Products!$A$6:$A$60,0))),0)</f>
        <v>15500</v>
      </c>
      <c r="K62" s="84">
        <f t="shared" si="0"/>
        <v>31000</v>
      </c>
      <c r="L62" s="78"/>
    </row>
    <row r="63" spans="1:12" x14ac:dyDescent="0.25">
      <c r="A63" s="81">
        <v>46315</v>
      </c>
      <c r="B63" s="82" t="s">
        <v>277</v>
      </c>
      <c r="C63" s="82" t="s">
        <v>175</v>
      </c>
      <c r="D63" s="59" t="str">
        <f>IFERROR(INDEX(Products!$B$6:$B$60,MATCH(C63,Products!$A$6:$A$60,0)),"")</f>
        <v>Granulated Sugar 500g</v>
      </c>
      <c r="E63" s="59" t="str">
        <f>IFERROR(INDEX(Products!$C$6:$C$60,MATCH(C63,Products!$A$6:$A$60,0)),"")</f>
        <v>Packaged Food</v>
      </c>
      <c r="F63" s="78" t="s">
        <v>215</v>
      </c>
      <c r="G63" s="83">
        <v>1</v>
      </c>
      <c r="H63" s="78" t="s">
        <v>216</v>
      </c>
      <c r="I63" s="82" t="s">
        <v>195</v>
      </c>
      <c r="J63" s="84">
        <f>IFERROR(IF(OR(F63="Sale",F63="Sales Return"),INDEX(Products!$G$6:$G$60,MATCH(C63,Products!$A$6:$A$60,0)),INDEX(Products!$F$6:$F$60,MATCH(C63,Products!$A$6:$A$60,0))),0)</f>
        <v>18800</v>
      </c>
      <c r="K63" s="84">
        <f t="shared" si="0"/>
        <v>18800</v>
      </c>
      <c r="L63" s="78"/>
    </row>
    <row r="64" spans="1:12" x14ac:dyDescent="0.25">
      <c r="A64" s="81">
        <v>46315</v>
      </c>
      <c r="B64" s="82" t="s">
        <v>278</v>
      </c>
      <c r="C64" s="82" t="s">
        <v>175</v>
      </c>
      <c r="D64" s="59" t="str">
        <f>IFERROR(INDEX(Products!$B$6:$B$60,MATCH(C64,Products!$A$6:$A$60,0)),"")</f>
        <v>Granulated Sugar 500g</v>
      </c>
      <c r="E64" s="59" t="str">
        <f>IFERROR(INDEX(Products!$C$6:$C$60,MATCH(C64,Products!$A$6:$A$60,0)),"")</f>
        <v>Packaged Food</v>
      </c>
      <c r="F64" s="78" t="s">
        <v>215</v>
      </c>
      <c r="G64" s="83">
        <v>2</v>
      </c>
      <c r="H64" s="78" t="s">
        <v>232</v>
      </c>
      <c r="I64" s="82" t="s">
        <v>200</v>
      </c>
      <c r="J64" s="84">
        <f>IFERROR(IF(OR(F64="Sale",F64="Sales Return"),INDEX(Products!$G$6:$G$60,MATCH(C64,Products!$A$6:$A$60,0)),INDEX(Products!$F$6:$F$60,MATCH(C64,Products!$A$6:$A$60,0))),0)</f>
        <v>18800</v>
      </c>
      <c r="K64" s="84">
        <f t="shared" si="0"/>
        <v>37600</v>
      </c>
      <c r="L64" s="78"/>
    </row>
    <row r="65" spans="1:12" x14ac:dyDescent="0.25">
      <c r="A65" s="81">
        <v>46315</v>
      </c>
      <c r="B65" s="82" t="s">
        <v>279</v>
      </c>
      <c r="C65" s="82" t="s">
        <v>179</v>
      </c>
      <c r="D65" s="59" t="str">
        <f>IFERROR(INDEX(Products!$B$6:$B$60,MATCH(C65,Products!$A$6:$A$60,0)),"")</f>
        <v>Cocoa Beverage Powder 400g</v>
      </c>
      <c r="E65" s="59" t="str">
        <f>IFERROR(INDEX(Products!$C$6:$C$60,MATCH(C65,Products!$A$6:$A$60,0)),"")</f>
        <v>Packaged Food</v>
      </c>
      <c r="F65" s="78" t="s">
        <v>215</v>
      </c>
      <c r="G65" s="83">
        <v>2</v>
      </c>
      <c r="H65" s="78" t="s">
        <v>234</v>
      </c>
      <c r="I65" s="82" t="s">
        <v>195</v>
      </c>
      <c r="J65" s="84">
        <f>IFERROR(IF(OR(F65="Sale",F65="Sales Return"),INDEX(Products!$G$6:$G$60,MATCH(C65,Products!$A$6:$A$60,0)),INDEX(Products!$F$6:$F$60,MATCH(C65,Products!$A$6:$A$60,0))),0)</f>
        <v>23500</v>
      </c>
      <c r="K65" s="84">
        <f t="shared" si="0"/>
        <v>47000</v>
      </c>
      <c r="L65" s="78"/>
    </row>
    <row r="66" spans="1:12" x14ac:dyDescent="0.25">
      <c r="A66" s="81">
        <v>46315</v>
      </c>
      <c r="B66" s="82" t="s">
        <v>280</v>
      </c>
      <c r="C66" s="82" t="s">
        <v>140</v>
      </c>
      <c r="D66" s="59" t="str">
        <f>IFERROR(INDEX(Products!$B$6:$B$60,MATCH(C66,Products!$A$6:$A$60,0)),"")</f>
        <v>Instant Noodles Chicken 70g</v>
      </c>
      <c r="E66" s="59" t="str">
        <f>IFERROR(INDEX(Products!$C$6:$C$60,MATCH(C66,Products!$A$6:$A$60,0)),"")</f>
        <v>Noodles &amp; Pasta</v>
      </c>
      <c r="F66" s="78" t="s">
        <v>215</v>
      </c>
      <c r="G66" s="83">
        <v>1</v>
      </c>
      <c r="H66" s="78" t="s">
        <v>220</v>
      </c>
      <c r="I66" s="82" t="s">
        <v>221</v>
      </c>
      <c r="J66" s="84">
        <f>IFERROR(IF(OR(F66="Sale",F66="Sales Return"),INDEX(Products!$G$6:$G$60,MATCH(C66,Products!$A$6:$A$60,0)),INDEX(Products!$F$6:$F$60,MATCH(C66,Products!$A$6:$A$60,0))),0)</f>
        <v>8400</v>
      </c>
      <c r="K66" s="84">
        <f t="shared" si="0"/>
        <v>8400</v>
      </c>
      <c r="L66" s="78"/>
    </row>
    <row r="67" spans="1:12" x14ac:dyDescent="0.25">
      <c r="A67" s="81">
        <v>46315</v>
      </c>
      <c r="B67" s="82" t="s">
        <v>281</v>
      </c>
      <c r="C67" s="82" t="s">
        <v>140</v>
      </c>
      <c r="D67" s="59" t="str">
        <f>IFERROR(INDEX(Products!$B$6:$B$60,MATCH(C67,Products!$A$6:$A$60,0)),"")</f>
        <v>Instant Noodles Chicken 70g</v>
      </c>
      <c r="E67" s="59" t="str">
        <f>IFERROR(INDEX(Products!$C$6:$C$60,MATCH(C67,Products!$A$6:$A$60,0)),"")</f>
        <v>Noodles &amp; Pasta</v>
      </c>
      <c r="F67" s="78" t="s">
        <v>215</v>
      </c>
      <c r="G67" s="83">
        <v>5</v>
      </c>
      <c r="H67" s="78" t="s">
        <v>230</v>
      </c>
      <c r="I67" s="82" t="s">
        <v>200</v>
      </c>
      <c r="J67" s="84">
        <f>IFERROR(IF(OR(F67="Sale",F67="Sales Return"),INDEX(Products!$G$6:$G$60,MATCH(C67,Products!$A$6:$A$60,0)),INDEX(Products!$F$6:$F$60,MATCH(C67,Products!$A$6:$A$60,0))),0)</f>
        <v>8400</v>
      </c>
      <c r="K67" s="84">
        <f t="shared" si="0"/>
        <v>42000</v>
      </c>
      <c r="L67" s="78"/>
    </row>
    <row r="68" spans="1:12" x14ac:dyDescent="0.25">
      <c r="A68" s="81">
        <v>46315</v>
      </c>
      <c r="B68" s="82" t="s">
        <v>282</v>
      </c>
      <c r="C68" s="82" t="s">
        <v>140</v>
      </c>
      <c r="D68" s="59" t="str">
        <f>IFERROR(INDEX(Products!$B$6:$B$60,MATCH(C68,Products!$A$6:$A$60,0)),"")</f>
        <v>Instant Noodles Chicken 70g</v>
      </c>
      <c r="E68" s="59" t="str">
        <f>IFERROR(INDEX(Products!$C$6:$C$60,MATCH(C68,Products!$A$6:$A$60,0)),"")</f>
        <v>Noodles &amp; Pasta</v>
      </c>
      <c r="F68" s="78" t="s">
        <v>215</v>
      </c>
      <c r="G68" s="83">
        <v>5</v>
      </c>
      <c r="H68" s="78" t="s">
        <v>230</v>
      </c>
      <c r="I68" s="82" t="s">
        <v>200</v>
      </c>
      <c r="J68" s="84">
        <f>IFERROR(IF(OR(F68="Sale",F68="Sales Return"),INDEX(Products!$G$6:$G$60,MATCH(C68,Products!$A$6:$A$60,0)),INDEX(Products!$F$6:$F$60,MATCH(C68,Products!$A$6:$A$60,0))),0)</f>
        <v>8400</v>
      </c>
      <c r="K68" s="84">
        <f t="shared" si="0"/>
        <v>42000</v>
      </c>
      <c r="L68" s="78"/>
    </row>
    <row r="69" spans="1:12" x14ac:dyDescent="0.25">
      <c r="A69" s="81">
        <v>46315</v>
      </c>
      <c r="B69" s="82" t="s">
        <v>283</v>
      </c>
      <c r="C69" s="82" t="s">
        <v>145</v>
      </c>
      <c r="D69" s="59" t="str">
        <f>IFERROR(INDEX(Products!$B$6:$B$60,MATCH(C69,Products!$A$6:$A$60,0)),"")</f>
        <v>Instant Noodles Onion 70g</v>
      </c>
      <c r="E69" s="59" t="str">
        <f>IFERROR(INDEX(Products!$C$6:$C$60,MATCH(C69,Products!$A$6:$A$60,0)),"")</f>
        <v>Noodles &amp; Pasta</v>
      </c>
      <c r="F69" s="78" t="s">
        <v>215</v>
      </c>
      <c r="G69" s="83">
        <v>3</v>
      </c>
      <c r="H69" s="78" t="s">
        <v>220</v>
      </c>
      <c r="I69" s="82" t="s">
        <v>221</v>
      </c>
      <c r="J69" s="84">
        <f>IFERROR(IF(OR(F69="Sale",F69="Sales Return"),INDEX(Products!$G$6:$G$60,MATCH(C69,Products!$A$6:$A$60,0)),INDEX(Products!$F$6:$F$60,MATCH(C69,Products!$A$6:$A$60,0))),0)</f>
        <v>8500</v>
      </c>
      <c r="K69" s="84">
        <f t="shared" si="0"/>
        <v>25500</v>
      </c>
      <c r="L69" s="78"/>
    </row>
    <row r="70" spans="1:12" x14ac:dyDescent="0.25">
      <c r="A70" s="81">
        <v>46315</v>
      </c>
      <c r="B70" s="82" t="s">
        <v>284</v>
      </c>
      <c r="C70" s="82" t="s">
        <v>145</v>
      </c>
      <c r="D70" s="59" t="str">
        <f>IFERROR(INDEX(Products!$B$6:$B$60,MATCH(C70,Products!$A$6:$A$60,0)),"")</f>
        <v>Instant Noodles Onion 70g</v>
      </c>
      <c r="E70" s="59" t="str">
        <f>IFERROR(INDEX(Products!$C$6:$C$60,MATCH(C70,Products!$A$6:$A$60,0)),"")</f>
        <v>Noodles &amp; Pasta</v>
      </c>
      <c r="F70" s="78" t="s">
        <v>215</v>
      </c>
      <c r="G70" s="83">
        <v>3</v>
      </c>
      <c r="H70" s="78" t="s">
        <v>230</v>
      </c>
      <c r="I70" s="82" t="s">
        <v>200</v>
      </c>
      <c r="J70" s="84">
        <f>IFERROR(IF(OR(F70="Sale",F70="Sales Return"),INDEX(Products!$G$6:$G$60,MATCH(C70,Products!$A$6:$A$60,0)),INDEX(Products!$F$6:$F$60,MATCH(C70,Products!$A$6:$A$60,0))),0)</f>
        <v>8500</v>
      </c>
      <c r="K70" s="84">
        <f t="shared" ref="K70:K133" si="1">G70*J70</f>
        <v>25500</v>
      </c>
      <c r="L70" s="78"/>
    </row>
    <row r="71" spans="1:12" x14ac:dyDescent="0.25">
      <c r="A71" s="81">
        <v>46315</v>
      </c>
      <c r="B71" s="82" t="s">
        <v>285</v>
      </c>
      <c r="C71" s="82" t="s">
        <v>145</v>
      </c>
      <c r="D71" s="59" t="str">
        <f>IFERROR(INDEX(Products!$B$6:$B$60,MATCH(C71,Products!$A$6:$A$60,0)),"")</f>
        <v>Instant Noodles Onion 70g</v>
      </c>
      <c r="E71" s="59" t="str">
        <f>IFERROR(INDEX(Products!$C$6:$C$60,MATCH(C71,Products!$A$6:$A$60,0)),"")</f>
        <v>Noodles &amp; Pasta</v>
      </c>
      <c r="F71" s="78" t="s">
        <v>215</v>
      </c>
      <c r="G71" s="83">
        <v>2</v>
      </c>
      <c r="H71" s="78" t="s">
        <v>232</v>
      </c>
      <c r="I71" s="82" t="s">
        <v>195</v>
      </c>
      <c r="J71" s="84">
        <f>IFERROR(IF(OR(F71="Sale",F71="Sales Return"),INDEX(Products!$G$6:$G$60,MATCH(C71,Products!$A$6:$A$60,0)),INDEX(Products!$F$6:$F$60,MATCH(C71,Products!$A$6:$A$60,0))),0)</f>
        <v>8500</v>
      </c>
      <c r="K71" s="84">
        <f t="shared" si="1"/>
        <v>17000</v>
      </c>
      <c r="L71" s="78"/>
    </row>
    <row r="72" spans="1:12" x14ac:dyDescent="0.25">
      <c r="A72" s="81">
        <v>46315</v>
      </c>
      <c r="B72" s="82" t="s">
        <v>286</v>
      </c>
      <c r="C72" s="82" t="s">
        <v>147</v>
      </c>
      <c r="D72" s="59" t="str">
        <f>IFERROR(INDEX(Products!$B$6:$B$60,MATCH(C72,Products!$A$6:$A$60,0)),"")</f>
        <v>Spaghetti 500g</v>
      </c>
      <c r="E72" s="59" t="str">
        <f>IFERROR(INDEX(Products!$C$6:$C$60,MATCH(C72,Products!$A$6:$A$60,0)),"")</f>
        <v>Noodles &amp; Pasta</v>
      </c>
      <c r="F72" s="78" t="s">
        <v>215</v>
      </c>
      <c r="G72" s="83">
        <v>1</v>
      </c>
      <c r="H72" s="78" t="s">
        <v>242</v>
      </c>
      <c r="I72" s="82" t="s">
        <v>221</v>
      </c>
      <c r="J72" s="84">
        <f>IFERROR(IF(OR(F72="Sale",F72="Sales Return"),INDEX(Products!$G$6:$G$60,MATCH(C72,Products!$A$6:$A$60,0)),INDEX(Products!$F$6:$F$60,MATCH(C72,Products!$A$6:$A$60,0))),0)</f>
        <v>12800</v>
      </c>
      <c r="K72" s="84">
        <f t="shared" si="1"/>
        <v>12800</v>
      </c>
      <c r="L72" s="78"/>
    </row>
    <row r="73" spans="1:12" x14ac:dyDescent="0.25">
      <c r="A73" s="81">
        <v>46315</v>
      </c>
      <c r="B73" s="82" t="s">
        <v>287</v>
      </c>
      <c r="C73" s="82" t="s">
        <v>147</v>
      </c>
      <c r="D73" s="59" t="str">
        <f>IFERROR(INDEX(Products!$B$6:$B$60,MATCH(C73,Products!$A$6:$A$60,0)),"")</f>
        <v>Spaghetti 500g</v>
      </c>
      <c r="E73" s="59" t="str">
        <f>IFERROR(INDEX(Products!$C$6:$C$60,MATCH(C73,Products!$A$6:$A$60,0)),"")</f>
        <v>Noodles &amp; Pasta</v>
      </c>
      <c r="F73" s="78" t="s">
        <v>215</v>
      </c>
      <c r="G73" s="83">
        <v>2</v>
      </c>
      <c r="H73" s="78" t="s">
        <v>220</v>
      </c>
      <c r="I73" s="82" t="s">
        <v>195</v>
      </c>
      <c r="J73" s="84">
        <f>IFERROR(IF(OR(F73="Sale",F73="Sales Return"),INDEX(Products!$G$6:$G$60,MATCH(C73,Products!$A$6:$A$60,0)),INDEX(Products!$F$6:$F$60,MATCH(C73,Products!$A$6:$A$60,0))),0)</f>
        <v>12800</v>
      </c>
      <c r="K73" s="84">
        <f t="shared" si="1"/>
        <v>25600</v>
      </c>
      <c r="L73" s="78"/>
    </row>
    <row r="74" spans="1:12" x14ac:dyDescent="0.25">
      <c r="A74" s="81">
        <v>46315</v>
      </c>
      <c r="B74" s="82" t="s">
        <v>288</v>
      </c>
      <c r="C74" s="82" t="s">
        <v>150</v>
      </c>
      <c r="D74" s="59" t="str">
        <f>IFERROR(INDEX(Products!$B$6:$B$60,MATCH(C74,Products!$A$6:$A$60,0)),"")</f>
        <v>Vegetable Oil 5L</v>
      </c>
      <c r="E74" s="59" t="str">
        <f>IFERROR(INDEX(Products!$C$6:$C$60,MATCH(C74,Products!$A$6:$A$60,0)),"")</f>
        <v>Cooking Oil</v>
      </c>
      <c r="F74" s="78" t="s">
        <v>215</v>
      </c>
      <c r="G74" s="83">
        <v>1</v>
      </c>
      <c r="H74" s="78" t="s">
        <v>234</v>
      </c>
      <c r="I74" s="82" t="s">
        <v>195</v>
      </c>
      <c r="J74" s="84">
        <f>IFERROR(IF(OR(F74="Sale",F74="Sales Return"),INDEX(Products!$G$6:$G$60,MATCH(C74,Products!$A$6:$A$60,0)),INDEX(Products!$F$6:$F$60,MATCH(C74,Products!$A$6:$A$60,0))),0)</f>
        <v>41500</v>
      </c>
      <c r="K74" s="84">
        <f t="shared" si="1"/>
        <v>41500</v>
      </c>
      <c r="L74" s="78"/>
    </row>
    <row r="75" spans="1:12" x14ac:dyDescent="0.25">
      <c r="A75" s="81">
        <v>46315</v>
      </c>
      <c r="B75" s="82" t="s">
        <v>289</v>
      </c>
      <c r="C75" s="82" t="s">
        <v>150</v>
      </c>
      <c r="D75" s="59" t="str">
        <f>IFERROR(INDEX(Products!$B$6:$B$60,MATCH(C75,Products!$A$6:$A$60,0)),"")</f>
        <v>Vegetable Oil 5L</v>
      </c>
      <c r="E75" s="59" t="str">
        <f>IFERROR(INDEX(Products!$C$6:$C$60,MATCH(C75,Products!$A$6:$A$60,0)),"")</f>
        <v>Cooking Oil</v>
      </c>
      <c r="F75" s="78" t="s">
        <v>215</v>
      </c>
      <c r="G75" s="83">
        <v>2</v>
      </c>
      <c r="H75" s="78" t="s">
        <v>226</v>
      </c>
      <c r="I75" s="82" t="s">
        <v>200</v>
      </c>
      <c r="J75" s="84">
        <f>IFERROR(IF(OR(F75="Sale",F75="Sales Return"),INDEX(Products!$G$6:$G$60,MATCH(C75,Products!$A$6:$A$60,0)),INDEX(Products!$F$6:$F$60,MATCH(C75,Products!$A$6:$A$60,0))),0)</f>
        <v>41500</v>
      </c>
      <c r="K75" s="84">
        <f t="shared" si="1"/>
        <v>83000</v>
      </c>
      <c r="L75" s="78"/>
    </row>
    <row r="76" spans="1:12" x14ac:dyDescent="0.25">
      <c r="A76" s="81">
        <v>46315</v>
      </c>
      <c r="B76" s="82" t="s">
        <v>290</v>
      </c>
      <c r="C76" s="82" t="s">
        <v>155</v>
      </c>
      <c r="D76" s="59" t="str">
        <f>IFERROR(INDEX(Products!$B$6:$B$60,MATCH(C76,Products!$A$6:$A$60,0)),"")</f>
        <v>Vegetable Oil 1L</v>
      </c>
      <c r="E76" s="59" t="str">
        <f>IFERROR(INDEX(Products!$C$6:$C$60,MATCH(C76,Products!$A$6:$A$60,0)),"")</f>
        <v>Cooking Oil</v>
      </c>
      <c r="F76" s="78" t="s">
        <v>215</v>
      </c>
      <c r="G76" s="83">
        <v>1</v>
      </c>
      <c r="H76" s="78" t="s">
        <v>230</v>
      </c>
      <c r="I76" s="82" t="s">
        <v>221</v>
      </c>
      <c r="J76" s="84">
        <f>IFERROR(IF(OR(F76="Sale",F76="Sales Return"),INDEX(Products!$G$6:$G$60,MATCH(C76,Products!$A$6:$A$60,0)),INDEX(Products!$F$6:$F$60,MATCH(C76,Products!$A$6:$A$60,0))),0)</f>
        <v>39000</v>
      </c>
      <c r="K76" s="84">
        <f t="shared" si="1"/>
        <v>39000</v>
      </c>
      <c r="L76" s="78"/>
    </row>
    <row r="77" spans="1:12" x14ac:dyDescent="0.25">
      <c r="A77" s="81">
        <v>46315</v>
      </c>
      <c r="B77" s="82" t="s">
        <v>291</v>
      </c>
      <c r="C77" s="82" t="s">
        <v>137</v>
      </c>
      <c r="D77" s="59" t="str">
        <f>IFERROR(INDEX(Products!$B$6:$B$60,MATCH(C77,Products!$A$6:$A$60,0)),"")</f>
        <v>Malt Drink 33cl Can</v>
      </c>
      <c r="E77" s="59" t="str">
        <f>IFERROR(INDEX(Products!$C$6:$C$60,MATCH(C77,Products!$A$6:$A$60,0)),"")</f>
        <v>Beverages</v>
      </c>
      <c r="F77" s="78" t="s">
        <v>292</v>
      </c>
      <c r="G77" s="83">
        <v>1</v>
      </c>
      <c r="H77" s="78" t="s">
        <v>130</v>
      </c>
      <c r="I77" s="82"/>
      <c r="J77" s="84">
        <f>IFERROR(IF(OR(F77="Sale",F77="Sales Return"),INDEX(Products!$G$6:$G$60,MATCH(C77,Products!$A$6:$A$60,0)),INDEX(Products!$F$6:$F$60,MATCH(C77,Products!$A$6:$A$60,0))),0)</f>
        <v>9800</v>
      </c>
      <c r="K77" s="84">
        <f t="shared" si="1"/>
        <v>9800</v>
      </c>
      <c r="L77" s="78" t="s">
        <v>293</v>
      </c>
    </row>
    <row r="78" spans="1:12" x14ac:dyDescent="0.25">
      <c r="A78" s="81">
        <v>46315</v>
      </c>
      <c r="B78" s="82" t="s">
        <v>294</v>
      </c>
      <c r="C78" s="82" t="s">
        <v>161</v>
      </c>
      <c r="D78" s="59" t="str">
        <f>IFERROR(INDEX(Products!$B$6:$B$60,MATCH(C78,Products!$A$6:$A$60,0)),"")</f>
        <v>Detergent Powder 400g</v>
      </c>
      <c r="E78" s="59" t="str">
        <f>IFERROR(INDEX(Products!$C$6:$C$60,MATCH(C78,Products!$A$6:$A$60,0)),"")</f>
        <v>Home Care</v>
      </c>
      <c r="F78" s="78" t="s">
        <v>258</v>
      </c>
      <c r="G78" s="83">
        <v>1</v>
      </c>
      <c r="H78" s="78" t="s">
        <v>259</v>
      </c>
      <c r="I78" s="82"/>
      <c r="J78" s="84">
        <f>IFERROR(IF(OR(F78="Sale",F78="Sales Return"),INDEX(Products!$G$6:$G$60,MATCH(C78,Products!$A$6:$A$60,0)),INDEX(Products!$F$6:$F$60,MATCH(C78,Products!$A$6:$A$60,0))),0)</f>
        <v>17000</v>
      </c>
      <c r="K78" s="84">
        <f t="shared" si="1"/>
        <v>17000</v>
      </c>
      <c r="L78" s="78" t="s">
        <v>295</v>
      </c>
    </row>
    <row r="79" spans="1:12" x14ac:dyDescent="0.25">
      <c r="A79" s="81">
        <v>46316</v>
      </c>
      <c r="B79" s="82" t="s">
        <v>296</v>
      </c>
      <c r="C79" s="82" t="s">
        <v>127</v>
      </c>
      <c r="D79" s="59" t="str">
        <f>IFERROR(INDEX(Products!$B$6:$B$60,MATCH(C79,Products!$A$6:$A$60,0)),"")</f>
        <v>Cola Soft Drink 50cl PET</v>
      </c>
      <c r="E79" s="59" t="str">
        <f>IFERROR(INDEX(Products!$C$6:$C$60,MATCH(C79,Products!$A$6:$A$60,0)),"")</f>
        <v>Beverages</v>
      </c>
      <c r="F79" s="78" t="s">
        <v>194</v>
      </c>
      <c r="G79" s="83">
        <v>27</v>
      </c>
      <c r="H79" s="78" t="s">
        <v>130</v>
      </c>
      <c r="I79" s="82" t="s">
        <v>200</v>
      </c>
      <c r="J79" s="84">
        <f>IFERROR(IF(OR(F79="Sale",F79="Sales Return"),INDEX(Products!$G$6:$G$60,MATCH(C79,Products!$A$6:$A$60,0)),INDEX(Products!$F$6:$F$60,MATCH(C79,Products!$A$6:$A$60,0))),0)</f>
        <v>5200</v>
      </c>
      <c r="K79" s="84">
        <f t="shared" si="1"/>
        <v>140400</v>
      </c>
      <c r="L79" s="78" t="s">
        <v>297</v>
      </c>
    </row>
    <row r="80" spans="1:12" x14ac:dyDescent="0.25">
      <c r="A80" s="81">
        <v>46316</v>
      </c>
      <c r="B80" s="82" t="s">
        <v>298</v>
      </c>
      <c r="C80" s="82" t="s">
        <v>134</v>
      </c>
      <c r="D80" s="59" t="str">
        <f>IFERROR(INDEX(Products!$B$6:$B$60,MATCH(C80,Products!$A$6:$A$60,0)),"")</f>
        <v>Table Water 75cl</v>
      </c>
      <c r="E80" s="59" t="str">
        <f>IFERROR(INDEX(Products!$C$6:$C$60,MATCH(C80,Products!$A$6:$A$60,0)),"")</f>
        <v>Beverages</v>
      </c>
      <c r="F80" s="78" t="s">
        <v>194</v>
      </c>
      <c r="G80" s="83">
        <v>33</v>
      </c>
      <c r="H80" s="78" t="s">
        <v>130</v>
      </c>
      <c r="I80" s="82" t="s">
        <v>195</v>
      </c>
      <c r="J80" s="84">
        <f>IFERROR(IF(OR(F80="Sale",F80="Sales Return"),INDEX(Products!$G$6:$G$60,MATCH(C80,Products!$A$6:$A$60,0)),INDEX(Products!$F$6:$F$60,MATCH(C80,Products!$A$6:$A$60,0))),0)</f>
        <v>1900</v>
      </c>
      <c r="K80" s="84">
        <f t="shared" si="1"/>
        <v>62700</v>
      </c>
      <c r="L80" s="78" t="s">
        <v>299</v>
      </c>
    </row>
    <row r="81" spans="1:12" x14ac:dyDescent="0.25">
      <c r="A81" s="81">
        <v>46316</v>
      </c>
      <c r="B81" s="82" t="s">
        <v>300</v>
      </c>
      <c r="C81" s="82" t="s">
        <v>140</v>
      </c>
      <c r="D81" s="59" t="str">
        <f>IFERROR(INDEX(Products!$B$6:$B$60,MATCH(C81,Products!$A$6:$A$60,0)),"")</f>
        <v>Instant Noodles Chicken 70g</v>
      </c>
      <c r="E81" s="59" t="str">
        <f>IFERROR(INDEX(Products!$C$6:$C$60,MATCH(C81,Products!$A$6:$A$60,0)),"")</f>
        <v>Noodles &amp; Pasta</v>
      </c>
      <c r="F81" s="78" t="s">
        <v>194</v>
      </c>
      <c r="G81" s="83">
        <v>40</v>
      </c>
      <c r="H81" s="78" t="s">
        <v>143</v>
      </c>
      <c r="I81" s="82" t="s">
        <v>200</v>
      </c>
      <c r="J81" s="84">
        <f>IFERROR(IF(OR(F81="Sale",F81="Sales Return"),INDEX(Products!$G$6:$G$60,MATCH(C81,Products!$A$6:$A$60,0)),INDEX(Products!$F$6:$F$60,MATCH(C81,Products!$A$6:$A$60,0))),0)</f>
        <v>7600</v>
      </c>
      <c r="K81" s="84">
        <f t="shared" si="1"/>
        <v>304000</v>
      </c>
      <c r="L81" s="78" t="s">
        <v>301</v>
      </c>
    </row>
    <row r="82" spans="1:12" x14ac:dyDescent="0.25">
      <c r="A82" s="81">
        <v>46316</v>
      </c>
      <c r="B82" s="82" t="s">
        <v>302</v>
      </c>
      <c r="C82" s="82" t="s">
        <v>170</v>
      </c>
      <c r="D82" s="59" t="str">
        <f>IFERROR(INDEX(Products!$B$6:$B$60,MATCH(C82,Products!$A$6:$A$60,0)),"")</f>
        <v>Tomato Paste 70g Sachet</v>
      </c>
      <c r="E82" s="59" t="str">
        <f>IFERROR(INDEX(Products!$C$6:$C$60,MATCH(C82,Products!$A$6:$A$60,0)),"")</f>
        <v>Packaged Food</v>
      </c>
      <c r="F82" s="78" t="s">
        <v>262</v>
      </c>
      <c r="G82" s="83">
        <v>1</v>
      </c>
      <c r="H82" s="78" t="s">
        <v>220</v>
      </c>
      <c r="I82" s="82"/>
      <c r="J82" s="84">
        <f>IFERROR(IF(OR(F82="Sale",F82="Sales Return"),INDEX(Products!$G$6:$G$60,MATCH(C82,Products!$A$6:$A$60,0)),INDEX(Products!$F$6:$F$60,MATCH(C82,Products!$A$6:$A$60,0))),0)</f>
        <v>17200</v>
      </c>
      <c r="K82" s="84">
        <f t="shared" si="1"/>
        <v>17200</v>
      </c>
      <c r="L82" s="78" t="s">
        <v>303</v>
      </c>
    </row>
    <row r="83" spans="1:12" x14ac:dyDescent="0.25">
      <c r="A83" s="81">
        <v>46316</v>
      </c>
      <c r="B83" s="82" t="s">
        <v>304</v>
      </c>
      <c r="C83" s="82" t="s">
        <v>140</v>
      </c>
      <c r="D83" s="59" t="str">
        <f>IFERROR(INDEX(Products!$B$6:$B$60,MATCH(C83,Products!$A$6:$A$60,0)),"")</f>
        <v>Instant Noodles Chicken 70g</v>
      </c>
      <c r="E83" s="59" t="str">
        <f>IFERROR(INDEX(Products!$C$6:$C$60,MATCH(C83,Products!$A$6:$A$60,0)),"")</f>
        <v>Noodles &amp; Pasta</v>
      </c>
      <c r="F83" s="78" t="s">
        <v>262</v>
      </c>
      <c r="G83" s="83">
        <v>2</v>
      </c>
      <c r="H83" s="78" t="s">
        <v>232</v>
      </c>
      <c r="I83" s="82"/>
      <c r="J83" s="84">
        <f>IFERROR(IF(OR(F83="Sale",F83="Sales Return"),INDEX(Products!$G$6:$G$60,MATCH(C83,Products!$A$6:$A$60,0)),INDEX(Products!$F$6:$F$60,MATCH(C83,Products!$A$6:$A$60,0))),0)</f>
        <v>8400</v>
      </c>
      <c r="K83" s="84">
        <f t="shared" si="1"/>
        <v>16800</v>
      </c>
      <c r="L83" s="78" t="s">
        <v>305</v>
      </c>
    </row>
    <row r="84" spans="1:12" x14ac:dyDescent="0.25">
      <c r="A84" s="81">
        <v>46316</v>
      </c>
      <c r="B84" s="82" t="s">
        <v>306</v>
      </c>
      <c r="C84" s="82" t="s">
        <v>127</v>
      </c>
      <c r="D84" s="59" t="str">
        <f>IFERROR(INDEX(Products!$B$6:$B$60,MATCH(C84,Products!$A$6:$A$60,0)),"")</f>
        <v>Cola Soft Drink 50cl PET</v>
      </c>
      <c r="E84" s="59" t="str">
        <f>IFERROR(INDEX(Products!$C$6:$C$60,MATCH(C84,Products!$A$6:$A$60,0)),"")</f>
        <v>Beverages</v>
      </c>
      <c r="F84" s="78" t="s">
        <v>215</v>
      </c>
      <c r="G84" s="83">
        <v>2</v>
      </c>
      <c r="H84" s="78" t="s">
        <v>216</v>
      </c>
      <c r="I84" s="82" t="s">
        <v>195</v>
      </c>
      <c r="J84" s="84">
        <f>IFERROR(IF(OR(F84="Sale",F84="Sales Return"),INDEX(Products!$G$6:$G$60,MATCH(C84,Products!$A$6:$A$60,0)),INDEX(Products!$F$6:$F$60,MATCH(C84,Products!$A$6:$A$60,0))),0)</f>
        <v>5900</v>
      </c>
      <c r="K84" s="84">
        <f t="shared" si="1"/>
        <v>11800</v>
      </c>
      <c r="L84" s="78"/>
    </row>
    <row r="85" spans="1:12" x14ac:dyDescent="0.25">
      <c r="A85" s="81">
        <v>46316</v>
      </c>
      <c r="B85" s="82" t="s">
        <v>307</v>
      </c>
      <c r="C85" s="82" t="s">
        <v>127</v>
      </c>
      <c r="D85" s="59" t="str">
        <f>IFERROR(INDEX(Products!$B$6:$B$60,MATCH(C85,Products!$A$6:$A$60,0)),"")</f>
        <v>Cola Soft Drink 50cl PET</v>
      </c>
      <c r="E85" s="59" t="str">
        <f>IFERROR(INDEX(Products!$C$6:$C$60,MATCH(C85,Products!$A$6:$A$60,0)),"")</f>
        <v>Beverages</v>
      </c>
      <c r="F85" s="78" t="s">
        <v>215</v>
      </c>
      <c r="G85" s="83">
        <v>1</v>
      </c>
      <c r="H85" s="78" t="s">
        <v>242</v>
      </c>
      <c r="I85" s="82" t="s">
        <v>221</v>
      </c>
      <c r="J85" s="84">
        <f>IFERROR(IF(OR(F85="Sale",F85="Sales Return"),INDEX(Products!$G$6:$G$60,MATCH(C85,Products!$A$6:$A$60,0)),INDEX(Products!$F$6:$F$60,MATCH(C85,Products!$A$6:$A$60,0))),0)</f>
        <v>5900</v>
      </c>
      <c r="K85" s="84">
        <f t="shared" si="1"/>
        <v>5900</v>
      </c>
      <c r="L85" s="78"/>
    </row>
    <row r="86" spans="1:12" x14ac:dyDescent="0.25">
      <c r="A86" s="81">
        <v>46316</v>
      </c>
      <c r="B86" s="82" t="s">
        <v>308</v>
      </c>
      <c r="C86" s="82" t="s">
        <v>127</v>
      </c>
      <c r="D86" s="59" t="str">
        <f>IFERROR(INDEX(Products!$B$6:$B$60,MATCH(C86,Products!$A$6:$A$60,0)),"")</f>
        <v>Cola Soft Drink 50cl PET</v>
      </c>
      <c r="E86" s="59" t="str">
        <f>IFERROR(INDEX(Products!$C$6:$C$60,MATCH(C86,Products!$A$6:$A$60,0)),"")</f>
        <v>Beverages</v>
      </c>
      <c r="F86" s="78" t="s">
        <v>215</v>
      </c>
      <c r="G86" s="83">
        <v>1</v>
      </c>
      <c r="H86" s="78" t="s">
        <v>232</v>
      </c>
      <c r="I86" s="82" t="s">
        <v>200</v>
      </c>
      <c r="J86" s="84">
        <f>IFERROR(IF(OR(F86="Sale",F86="Sales Return"),INDEX(Products!$G$6:$G$60,MATCH(C86,Products!$A$6:$A$60,0)),INDEX(Products!$F$6:$F$60,MATCH(C86,Products!$A$6:$A$60,0))),0)</f>
        <v>5900</v>
      </c>
      <c r="K86" s="84">
        <f t="shared" si="1"/>
        <v>5900</v>
      </c>
      <c r="L86" s="78"/>
    </row>
    <row r="87" spans="1:12" x14ac:dyDescent="0.25">
      <c r="A87" s="81">
        <v>46316</v>
      </c>
      <c r="B87" s="82" t="s">
        <v>309</v>
      </c>
      <c r="C87" s="82" t="s">
        <v>132</v>
      </c>
      <c r="D87" s="59" t="str">
        <f>IFERROR(INDEX(Products!$B$6:$B$60,MATCH(C87,Products!$A$6:$A$60,0)),"")</f>
        <v>Orange Soft Drink 50cl PET</v>
      </c>
      <c r="E87" s="59" t="str">
        <f>IFERROR(INDEX(Products!$C$6:$C$60,MATCH(C87,Products!$A$6:$A$60,0)),"")</f>
        <v>Beverages</v>
      </c>
      <c r="F87" s="78" t="s">
        <v>215</v>
      </c>
      <c r="G87" s="83">
        <v>5</v>
      </c>
      <c r="H87" s="78" t="s">
        <v>232</v>
      </c>
      <c r="I87" s="82" t="s">
        <v>221</v>
      </c>
      <c r="J87" s="84">
        <f>IFERROR(IF(OR(F87="Sale",F87="Sales Return"),INDEX(Products!$G$6:$G$60,MATCH(C87,Products!$A$6:$A$60,0)),INDEX(Products!$F$6:$F$60,MATCH(C87,Products!$A$6:$A$60,0))),0)</f>
        <v>5900</v>
      </c>
      <c r="K87" s="84">
        <f t="shared" si="1"/>
        <v>29500</v>
      </c>
      <c r="L87" s="78"/>
    </row>
    <row r="88" spans="1:12" x14ac:dyDescent="0.25">
      <c r="A88" s="81">
        <v>46316</v>
      </c>
      <c r="B88" s="82" t="s">
        <v>310</v>
      </c>
      <c r="C88" s="82" t="s">
        <v>134</v>
      </c>
      <c r="D88" s="59" t="str">
        <f>IFERROR(INDEX(Products!$B$6:$B$60,MATCH(C88,Products!$A$6:$A$60,0)),"")</f>
        <v>Table Water 75cl</v>
      </c>
      <c r="E88" s="59" t="str">
        <f>IFERROR(INDEX(Products!$C$6:$C$60,MATCH(C88,Products!$A$6:$A$60,0)),"")</f>
        <v>Beverages</v>
      </c>
      <c r="F88" s="78" t="s">
        <v>215</v>
      </c>
      <c r="G88" s="83">
        <v>7</v>
      </c>
      <c r="H88" s="78" t="s">
        <v>220</v>
      </c>
      <c r="I88" s="82" t="s">
        <v>221</v>
      </c>
      <c r="J88" s="84">
        <f>IFERROR(IF(OR(F88="Sale",F88="Sales Return"),INDEX(Products!$G$6:$G$60,MATCH(C88,Products!$A$6:$A$60,0)),INDEX(Products!$F$6:$F$60,MATCH(C88,Products!$A$6:$A$60,0))),0)</f>
        <v>2300</v>
      </c>
      <c r="K88" s="84">
        <f t="shared" si="1"/>
        <v>16100</v>
      </c>
      <c r="L88" s="78"/>
    </row>
    <row r="89" spans="1:12" x14ac:dyDescent="0.25">
      <c r="A89" s="81">
        <v>46316</v>
      </c>
      <c r="B89" s="82" t="s">
        <v>311</v>
      </c>
      <c r="C89" s="82" t="s">
        <v>157</v>
      </c>
      <c r="D89" s="59" t="str">
        <f>IFERROR(INDEX(Products!$B$6:$B$60,MATCH(C89,Products!$A$6:$A$60,0)),"")</f>
        <v>Detergent Powder 900g</v>
      </c>
      <c r="E89" s="59" t="str">
        <f>IFERROR(INDEX(Products!$C$6:$C$60,MATCH(C89,Products!$A$6:$A$60,0)),"")</f>
        <v>Home Care</v>
      </c>
      <c r="F89" s="78" t="s">
        <v>215</v>
      </c>
      <c r="G89" s="83">
        <v>2</v>
      </c>
      <c r="H89" s="78" t="s">
        <v>220</v>
      </c>
      <c r="I89" s="82" t="s">
        <v>221</v>
      </c>
      <c r="J89" s="84">
        <f>IFERROR(IF(OR(F89="Sale",F89="Sales Return"),INDEX(Products!$G$6:$G$60,MATCH(C89,Products!$A$6:$A$60,0)),INDEX(Products!$F$6:$F$60,MATCH(C89,Products!$A$6:$A$60,0))),0)</f>
        <v>16200</v>
      </c>
      <c r="K89" s="84">
        <f t="shared" si="1"/>
        <v>32400</v>
      </c>
      <c r="L89" s="78"/>
    </row>
    <row r="90" spans="1:12" x14ac:dyDescent="0.25">
      <c r="A90" s="81">
        <v>46316</v>
      </c>
      <c r="B90" s="82" t="s">
        <v>312</v>
      </c>
      <c r="C90" s="82" t="s">
        <v>161</v>
      </c>
      <c r="D90" s="59" t="str">
        <f>IFERROR(INDEX(Products!$B$6:$B$60,MATCH(C90,Products!$A$6:$A$60,0)),"")</f>
        <v>Detergent Powder 400g</v>
      </c>
      <c r="E90" s="59" t="str">
        <f>IFERROR(INDEX(Products!$C$6:$C$60,MATCH(C90,Products!$A$6:$A$60,0)),"")</f>
        <v>Home Care</v>
      </c>
      <c r="F90" s="78" t="s">
        <v>215</v>
      </c>
      <c r="G90" s="83">
        <v>3</v>
      </c>
      <c r="H90" s="78" t="s">
        <v>218</v>
      </c>
      <c r="I90" s="82" t="s">
        <v>195</v>
      </c>
      <c r="J90" s="84">
        <f>IFERROR(IF(OR(F90="Sale",F90="Sales Return"),INDEX(Products!$G$6:$G$60,MATCH(C90,Products!$A$6:$A$60,0)),INDEX(Products!$F$6:$F$60,MATCH(C90,Products!$A$6:$A$60,0))),0)</f>
        <v>19000</v>
      </c>
      <c r="K90" s="84">
        <f t="shared" si="1"/>
        <v>57000</v>
      </c>
      <c r="L90" s="78"/>
    </row>
    <row r="91" spans="1:12" x14ac:dyDescent="0.25">
      <c r="A91" s="81">
        <v>46316</v>
      </c>
      <c r="B91" s="82" t="s">
        <v>313</v>
      </c>
      <c r="C91" s="82" t="s">
        <v>170</v>
      </c>
      <c r="D91" s="59" t="str">
        <f>IFERROR(INDEX(Products!$B$6:$B$60,MATCH(C91,Products!$A$6:$A$60,0)),"")</f>
        <v>Tomato Paste 70g Sachet</v>
      </c>
      <c r="E91" s="59" t="str">
        <f>IFERROR(INDEX(Products!$C$6:$C$60,MATCH(C91,Products!$A$6:$A$60,0)),"")</f>
        <v>Packaged Food</v>
      </c>
      <c r="F91" s="78" t="s">
        <v>215</v>
      </c>
      <c r="G91" s="83">
        <v>2</v>
      </c>
      <c r="H91" s="78" t="s">
        <v>226</v>
      </c>
      <c r="I91" s="82" t="s">
        <v>200</v>
      </c>
      <c r="J91" s="84">
        <f>IFERROR(IF(OR(F91="Sale",F91="Sales Return"),INDEX(Products!$G$6:$G$60,MATCH(C91,Products!$A$6:$A$60,0)),INDEX(Products!$F$6:$F$60,MATCH(C91,Products!$A$6:$A$60,0))),0)</f>
        <v>17200</v>
      </c>
      <c r="K91" s="84">
        <f t="shared" si="1"/>
        <v>34400</v>
      </c>
      <c r="L91" s="78"/>
    </row>
    <row r="92" spans="1:12" x14ac:dyDescent="0.25">
      <c r="A92" s="81">
        <v>46316</v>
      </c>
      <c r="B92" s="82" t="s">
        <v>314</v>
      </c>
      <c r="C92" s="82" t="s">
        <v>173</v>
      </c>
      <c r="D92" s="59" t="str">
        <f>IFERROR(INDEX(Products!$B$6:$B$60,MATCH(C92,Products!$A$6:$A$60,0)),"")</f>
        <v>Seasoning Cubes</v>
      </c>
      <c r="E92" s="59" t="str">
        <f>IFERROR(INDEX(Products!$C$6:$C$60,MATCH(C92,Products!$A$6:$A$60,0)),"")</f>
        <v>Packaged Food</v>
      </c>
      <c r="F92" s="78" t="s">
        <v>215</v>
      </c>
      <c r="G92" s="83">
        <v>1</v>
      </c>
      <c r="H92" s="78" t="s">
        <v>220</v>
      </c>
      <c r="I92" s="82" t="s">
        <v>221</v>
      </c>
      <c r="J92" s="84">
        <f>IFERROR(IF(OR(F92="Sale",F92="Sales Return"),INDEX(Products!$G$6:$G$60,MATCH(C92,Products!$A$6:$A$60,0)),INDEX(Products!$F$6:$F$60,MATCH(C92,Products!$A$6:$A$60,0))),0)</f>
        <v>15500</v>
      </c>
      <c r="K92" s="84">
        <f t="shared" si="1"/>
        <v>15500</v>
      </c>
      <c r="L92" s="78"/>
    </row>
    <row r="93" spans="1:12" x14ac:dyDescent="0.25">
      <c r="A93" s="81">
        <v>46316</v>
      </c>
      <c r="B93" s="82" t="s">
        <v>315</v>
      </c>
      <c r="C93" s="82" t="s">
        <v>173</v>
      </c>
      <c r="D93" s="59" t="str">
        <f>IFERROR(INDEX(Products!$B$6:$B$60,MATCH(C93,Products!$A$6:$A$60,0)),"")</f>
        <v>Seasoning Cubes</v>
      </c>
      <c r="E93" s="59" t="str">
        <f>IFERROR(INDEX(Products!$C$6:$C$60,MATCH(C93,Products!$A$6:$A$60,0)),"")</f>
        <v>Packaged Food</v>
      </c>
      <c r="F93" s="78" t="s">
        <v>215</v>
      </c>
      <c r="G93" s="83">
        <v>3</v>
      </c>
      <c r="H93" s="78" t="s">
        <v>232</v>
      </c>
      <c r="I93" s="82" t="s">
        <v>200</v>
      </c>
      <c r="J93" s="84">
        <f>IFERROR(IF(OR(F93="Sale",F93="Sales Return"),INDEX(Products!$G$6:$G$60,MATCH(C93,Products!$A$6:$A$60,0)),INDEX(Products!$F$6:$F$60,MATCH(C93,Products!$A$6:$A$60,0))),0)</f>
        <v>15500</v>
      </c>
      <c r="K93" s="84">
        <f t="shared" si="1"/>
        <v>46500</v>
      </c>
      <c r="L93" s="78"/>
    </row>
    <row r="94" spans="1:12" x14ac:dyDescent="0.25">
      <c r="A94" s="81">
        <v>46316</v>
      </c>
      <c r="B94" s="82" t="s">
        <v>316</v>
      </c>
      <c r="C94" s="82" t="s">
        <v>175</v>
      </c>
      <c r="D94" s="59" t="str">
        <f>IFERROR(INDEX(Products!$B$6:$B$60,MATCH(C94,Products!$A$6:$A$60,0)),"")</f>
        <v>Granulated Sugar 500g</v>
      </c>
      <c r="E94" s="59" t="str">
        <f>IFERROR(INDEX(Products!$C$6:$C$60,MATCH(C94,Products!$A$6:$A$60,0)),"")</f>
        <v>Packaged Food</v>
      </c>
      <c r="F94" s="78" t="s">
        <v>215</v>
      </c>
      <c r="G94" s="83">
        <v>8</v>
      </c>
      <c r="H94" s="78" t="s">
        <v>234</v>
      </c>
      <c r="I94" s="82" t="s">
        <v>195</v>
      </c>
      <c r="J94" s="84">
        <f>IFERROR(IF(OR(F94="Sale",F94="Sales Return"),INDEX(Products!$G$6:$G$60,MATCH(C94,Products!$A$6:$A$60,0)),INDEX(Products!$F$6:$F$60,MATCH(C94,Products!$A$6:$A$60,0))),0)</f>
        <v>18800</v>
      </c>
      <c r="K94" s="84">
        <f t="shared" si="1"/>
        <v>150400</v>
      </c>
      <c r="L94" s="78"/>
    </row>
    <row r="95" spans="1:12" x14ac:dyDescent="0.25">
      <c r="A95" s="81">
        <v>46316</v>
      </c>
      <c r="B95" s="82" t="s">
        <v>317</v>
      </c>
      <c r="C95" s="82" t="s">
        <v>140</v>
      </c>
      <c r="D95" s="59" t="str">
        <f>IFERROR(INDEX(Products!$B$6:$B$60,MATCH(C95,Products!$A$6:$A$60,0)),"")</f>
        <v>Instant Noodles Chicken 70g</v>
      </c>
      <c r="E95" s="59" t="str">
        <f>IFERROR(INDEX(Products!$C$6:$C$60,MATCH(C95,Products!$A$6:$A$60,0)),"")</f>
        <v>Noodles &amp; Pasta</v>
      </c>
      <c r="F95" s="78" t="s">
        <v>215</v>
      </c>
      <c r="G95" s="83">
        <v>16</v>
      </c>
      <c r="H95" s="78" t="s">
        <v>220</v>
      </c>
      <c r="I95" s="82" t="s">
        <v>195</v>
      </c>
      <c r="J95" s="84">
        <f>IFERROR(IF(OR(F95="Sale",F95="Sales Return"),INDEX(Products!$G$6:$G$60,MATCH(C95,Products!$A$6:$A$60,0)),INDEX(Products!$F$6:$F$60,MATCH(C95,Products!$A$6:$A$60,0))),0)</f>
        <v>8400</v>
      </c>
      <c r="K95" s="84">
        <f t="shared" si="1"/>
        <v>134400</v>
      </c>
      <c r="L95" s="78"/>
    </row>
    <row r="96" spans="1:12" x14ac:dyDescent="0.25">
      <c r="A96" s="81">
        <v>46316</v>
      </c>
      <c r="B96" s="82" t="s">
        <v>318</v>
      </c>
      <c r="C96" s="82" t="s">
        <v>140</v>
      </c>
      <c r="D96" s="59" t="str">
        <f>IFERROR(INDEX(Products!$B$6:$B$60,MATCH(C96,Products!$A$6:$A$60,0)),"")</f>
        <v>Instant Noodles Chicken 70g</v>
      </c>
      <c r="E96" s="59" t="str">
        <f>IFERROR(INDEX(Products!$C$6:$C$60,MATCH(C96,Products!$A$6:$A$60,0)),"")</f>
        <v>Noodles &amp; Pasta</v>
      </c>
      <c r="F96" s="78" t="s">
        <v>215</v>
      </c>
      <c r="G96" s="83">
        <v>1</v>
      </c>
      <c r="H96" s="78" t="s">
        <v>220</v>
      </c>
      <c r="I96" s="82" t="s">
        <v>221</v>
      </c>
      <c r="J96" s="84">
        <f>IFERROR(IF(OR(F96="Sale",F96="Sales Return"),INDEX(Products!$G$6:$G$60,MATCH(C96,Products!$A$6:$A$60,0)),INDEX(Products!$F$6:$F$60,MATCH(C96,Products!$A$6:$A$60,0))),0)</f>
        <v>8400</v>
      </c>
      <c r="K96" s="84">
        <f t="shared" si="1"/>
        <v>8400</v>
      </c>
      <c r="L96" s="78"/>
    </row>
    <row r="97" spans="1:12" x14ac:dyDescent="0.25">
      <c r="A97" s="81">
        <v>46316</v>
      </c>
      <c r="B97" s="82" t="s">
        <v>319</v>
      </c>
      <c r="C97" s="82" t="s">
        <v>145</v>
      </c>
      <c r="D97" s="59" t="str">
        <f>IFERROR(INDEX(Products!$B$6:$B$60,MATCH(C97,Products!$A$6:$A$60,0)),"")</f>
        <v>Instant Noodles Onion 70g</v>
      </c>
      <c r="E97" s="59" t="str">
        <f>IFERROR(INDEX(Products!$C$6:$C$60,MATCH(C97,Products!$A$6:$A$60,0)),"")</f>
        <v>Noodles &amp; Pasta</v>
      </c>
      <c r="F97" s="78" t="s">
        <v>215</v>
      </c>
      <c r="G97" s="83">
        <v>7</v>
      </c>
      <c r="H97" s="78" t="s">
        <v>226</v>
      </c>
      <c r="I97" s="82" t="s">
        <v>195</v>
      </c>
      <c r="J97" s="84">
        <f>IFERROR(IF(OR(F97="Sale",F97="Sales Return"),INDEX(Products!$G$6:$G$60,MATCH(C97,Products!$A$6:$A$60,0)),INDEX(Products!$F$6:$F$60,MATCH(C97,Products!$A$6:$A$60,0))),0)</f>
        <v>8500</v>
      </c>
      <c r="K97" s="84">
        <f t="shared" si="1"/>
        <v>59500</v>
      </c>
      <c r="L97" s="78"/>
    </row>
    <row r="98" spans="1:12" x14ac:dyDescent="0.25">
      <c r="A98" s="81">
        <v>46316</v>
      </c>
      <c r="B98" s="82" t="s">
        <v>320</v>
      </c>
      <c r="C98" s="82" t="s">
        <v>147</v>
      </c>
      <c r="D98" s="59" t="str">
        <f>IFERROR(INDEX(Products!$B$6:$B$60,MATCH(C98,Products!$A$6:$A$60,0)),"")</f>
        <v>Spaghetti 500g</v>
      </c>
      <c r="E98" s="59" t="str">
        <f>IFERROR(INDEX(Products!$C$6:$C$60,MATCH(C98,Products!$A$6:$A$60,0)),"")</f>
        <v>Noodles &amp; Pasta</v>
      </c>
      <c r="F98" s="78" t="s">
        <v>215</v>
      </c>
      <c r="G98" s="83">
        <v>1</v>
      </c>
      <c r="H98" s="78" t="s">
        <v>226</v>
      </c>
      <c r="I98" s="82" t="s">
        <v>200</v>
      </c>
      <c r="J98" s="84">
        <f>IFERROR(IF(OR(F98="Sale",F98="Sales Return"),INDEX(Products!$G$6:$G$60,MATCH(C98,Products!$A$6:$A$60,0)),INDEX(Products!$F$6:$F$60,MATCH(C98,Products!$A$6:$A$60,0))),0)</f>
        <v>12800</v>
      </c>
      <c r="K98" s="84">
        <f t="shared" si="1"/>
        <v>12800</v>
      </c>
      <c r="L98" s="78"/>
    </row>
    <row r="99" spans="1:12" x14ac:dyDescent="0.25">
      <c r="A99" s="81">
        <v>46316</v>
      </c>
      <c r="B99" s="82" t="s">
        <v>321</v>
      </c>
      <c r="C99" s="82" t="s">
        <v>150</v>
      </c>
      <c r="D99" s="59" t="str">
        <f>IFERROR(INDEX(Products!$B$6:$B$60,MATCH(C99,Products!$A$6:$A$60,0)),"")</f>
        <v>Vegetable Oil 5L</v>
      </c>
      <c r="E99" s="59" t="str">
        <f>IFERROR(INDEX(Products!$C$6:$C$60,MATCH(C99,Products!$A$6:$A$60,0)),"")</f>
        <v>Cooking Oil</v>
      </c>
      <c r="F99" s="78" t="s">
        <v>215</v>
      </c>
      <c r="G99" s="83">
        <v>1</v>
      </c>
      <c r="H99" s="78" t="s">
        <v>234</v>
      </c>
      <c r="I99" s="82" t="s">
        <v>195</v>
      </c>
      <c r="J99" s="84">
        <f>IFERROR(IF(OR(F99="Sale",F99="Sales Return"),INDEX(Products!$G$6:$G$60,MATCH(C99,Products!$A$6:$A$60,0)),INDEX(Products!$F$6:$F$60,MATCH(C99,Products!$A$6:$A$60,0))),0)</f>
        <v>41500</v>
      </c>
      <c r="K99" s="84">
        <f t="shared" si="1"/>
        <v>41500</v>
      </c>
      <c r="L99" s="78"/>
    </row>
    <row r="100" spans="1:12" x14ac:dyDescent="0.25">
      <c r="A100" s="81">
        <v>46316</v>
      </c>
      <c r="B100" s="82" t="s">
        <v>322</v>
      </c>
      <c r="C100" s="82" t="s">
        <v>155</v>
      </c>
      <c r="D100" s="59" t="str">
        <f>IFERROR(INDEX(Products!$B$6:$B$60,MATCH(C100,Products!$A$6:$A$60,0)),"")</f>
        <v>Vegetable Oil 1L</v>
      </c>
      <c r="E100" s="59" t="str">
        <f>IFERROR(INDEX(Products!$C$6:$C$60,MATCH(C100,Products!$A$6:$A$60,0)),"")</f>
        <v>Cooking Oil</v>
      </c>
      <c r="F100" s="78" t="s">
        <v>215</v>
      </c>
      <c r="G100" s="83">
        <v>2</v>
      </c>
      <c r="H100" s="78" t="s">
        <v>220</v>
      </c>
      <c r="I100" s="82" t="s">
        <v>221</v>
      </c>
      <c r="J100" s="84">
        <f>IFERROR(IF(OR(F100="Sale",F100="Sales Return"),INDEX(Products!$G$6:$G$60,MATCH(C100,Products!$A$6:$A$60,0)),INDEX(Products!$F$6:$F$60,MATCH(C100,Products!$A$6:$A$60,0))),0)</f>
        <v>39000</v>
      </c>
      <c r="K100" s="84">
        <f t="shared" si="1"/>
        <v>78000</v>
      </c>
      <c r="L100" s="78"/>
    </row>
    <row r="101" spans="1:12" x14ac:dyDescent="0.25">
      <c r="A101" s="81">
        <v>46316</v>
      </c>
      <c r="B101" s="82" t="s">
        <v>323</v>
      </c>
      <c r="C101" s="82" t="s">
        <v>134</v>
      </c>
      <c r="D101" s="59" t="str">
        <f>IFERROR(INDEX(Products!$B$6:$B$60,MATCH(C101,Products!$A$6:$A$60,0)),"")</f>
        <v>Table Water 75cl</v>
      </c>
      <c r="E101" s="59" t="str">
        <f>IFERROR(INDEX(Products!$C$6:$C$60,MATCH(C101,Products!$A$6:$A$60,0)),"")</f>
        <v>Beverages</v>
      </c>
      <c r="F101" s="78" t="s">
        <v>258</v>
      </c>
      <c r="G101" s="83">
        <v>1</v>
      </c>
      <c r="H101" s="78" t="s">
        <v>259</v>
      </c>
      <c r="I101" s="82"/>
      <c r="J101" s="84">
        <f>IFERROR(IF(OR(F101="Sale",F101="Sales Return"),INDEX(Products!$G$6:$G$60,MATCH(C101,Products!$A$6:$A$60,0)),INDEX(Products!$F$6:$F$60,MATCH(C101,Products!$A$6:$A$60,0))),0)</f>
        <v>1900</v>
      </c>
      <c r="K101" s="84">
        <f t="shared" si="1"/>
        <v>1900</v>
      </c>
      <c r="L101" s="78" t="s">
        <v>324</v>
      </c>
    </row>
    <row r="102" spans="1:12" x14ac:dyDescent="0.25">
      <c r="A102" s="81">
        <v>46316</v>
      </c>
      <c r="B102" s="82" t="s">
        <v>325</v>
      </c>
      <c r="C102" s="82" t="s">
        <v>145</v>
      </c>
      <c r="D102" s="59" t="str">
        <f>IFERROR(INDEX(Products!$B$6:$B$60,MATCH(C102,Products!$A$6:$A$60,0)),"")</f>
        <v>Instant Noodles Onion 70g</v>
      </c>
      <c r="E102" s="59" t="str">
        <f>IFERROR(INDEX(Products!$C$6:$C$60,MATCH(C102,Products!$A$6:$A$60,0)),"")</f>
        <v>Noodles &amp; Pasta</v>
      </c>
      <c r="F102" s="78" t="s">
        <v>292</v>
      </c>
      <c r="G102" s="83">
        <v>2</v>
      </c>
      <c r="H102" s="78" t="s">
        <v>143</v>
      </c>
      <c r="I102" s="82"/>
      <c r="J102" s="84">
        <f>IFERROR(IF(OR(F102="Sale",F102="Sales Return"),INDEX(Products!$G$6:$G$60,MATCH(C102,Products!$A$6:$A$60,0)),INDEX(Products!$F$6:$F$60,MATCH(C102,Products!$A$6:$A$60,0))),0)</f>
        <v>7700</v>
      </c>
      <c r="K102" s="84">
        <f t="shared" si="1"/>
        <v>15400</v>
      </c>
      <c r="L102" s="78" t="s">
        <v>326</v>
      </c>
    </row>
    <row r="103" spans="1:12" x14ac:dyDescent="0.25">
      <c r="A103" s="81">
        <v>46317</v>
      </c>
      <c r="B103" s="82" t="s">
        <v>327</v>
      </c>
      <c r="C103" s="82" t="s">
        <v>165</v>
      </c>
      <c r="D103" s="59" t="str">
        <f>IFERROR(INDEX(Products!$B$6:$B$60,MATCH(C103,Products!$A$6:$A$60,0)),"")</f>
        <v>Evaporated Milk 160g Tin</v>
      </c>
      <c r="E103" s="59" t="str">
        <f>IFERROR(INDEX(Products!$C$6:$C$60,MATCH(C103,Products!$A$6:$A$60,0)),"")</f>
        <v>Packaged Food</v>
      </c>
      <c r="F103" s="78" t="s">
        <v>262</v>
      </c>
      <c r="G103" s="83">
        <v>1</v>
      </c>
      <c r="H103" s="78" t="s">
        <v>232</v>
      </c>
      <c r="I103" s="82"/>
      <c r="J103" s="84">
        <f>IFERROR(IF(OR(F103="Sale",F103="Sales Return"),INDEX(Products!$G$6:$G$60,MATCH(C103,Products!$A$6:$A$60,0)),INDEX(Products!$F$6:$F$60,MATCH(C103,Products!$A$6:$A$60,0))),0)</f>
        <v>31000</v>
      </c>
      <c r="K103" s="84">
        <f t="shared" si="1"/>
        <v>31000</v>
      </c>
      <c r="L103" s="78" t="s">
        <v>328</v>
      </c>
    </row>
    <row r="104" spans="1:12" x14ac:dyDescent="0.25">
      <c r="A104" s="81">
        <v>46317</v>
      </c>
      <c r="B104" s="82" t="s">
        <v>329</v>
      </c>
      <c r="C104" s="82" t="s">
        <v>150</v>
      </c>
      <c r="D104" s="59" t="str">
        <f>IFERROR(INDEX(Products!$B$6:$B$60,MATCH(C104,Products!$A$6:$A$60,0)),"")</f>
        <v>Vegetable Oil 5L</v>
      </c>
      <c r="E104" s="59" t="str">
        <f>IFERROR(INDEX(Products!$C$6:$C$60,MATCH(C104,Products!$A$6:$A$60,0)),"")</f>
        <v>Cooking Oil</v>
      </c>
      <c r="F104" s="78" t="s">
        <v>262</v>
      </c>
      <c r="G104" s="83">
        <v>1</v>
      </c>
      <c r="H104" s="78" t="s">
        <v>218</v>
      </c>
      <c r="I104" s="82"/>
      <c r="J104" s="84">
        <f>IFERROR(IF(OR(F104="Sale",F104="Sales Return"),INDEX(Products!$G$6:$G$60,MATCH(C104,Products!$A$6:$A$60,0)),INDEX(Products!$F$6:$F$60,MATCH(C104,Products!$A$6:$A$60,0))),0)</f>
        <v>41500</v>
      </c>
      <c r="K104" s="84">
        <f t="shared" si="1"/>
        <v>41500</v>
      </c>
      <c r="L104" s="78" t="s">
        <v>330</v>
      </c>
    </row>
    <row r="105" spans="1:12" x14ac:dyDescent="0.25">
      <c r="A105" s="81">
        <v>46317</v>
      </c>
      <c r="B105" s="82" t="s">
        <v>331</v>
      </c>
      <c r="C105" s="82" t="s">
        <v>127</v>
      </c>
      <c r="D105" s="59" t="str">
        <f>IFERROR(INDEX(Products!$B$6:$B$60,MATCH(C105,Products!$A$6:$A$60,0)),"")</f>
        <v>Cola Soft Drink 50cl PET</v>
      </c>
      <c r="E105" s="59" t="str">
        <f>IFERROR(INDEX(Products!$C$6:$C$60,MATCH(C105,Products!$A$6:$A$60,0)),"")</f>
        <v>Beverages</v>
      </c>
      <c r="F105" s="78" t="s">
        <v>215</v>
      </c>
      <c r="G105" s="83">
        <v>8</v>
      </c>
      <c r="H105" s="78" t="s">
        <v>218</v>
      </c>
      <c r="I105" s="82" t="s">
        <v>200</v>
      </c>
      <c r="J105" s="84">
        <f>IFERROR(IF(OR(F105="Sale",F105="Sales Return"),INDEX(Products!$G$6:$G$60,MATCH(C105,Products!$A$6:$A$60,0)),INDEX(Products!$F$6:$F$60,MATCH(C105,Products!$A$6:$A$60,0))),0)</f>
        <v>5900</v>
      </c>
      <c r="K105" s="84">
        <f t="shared" si="1"/>
        <v>47200</v>
      </c>
      <c r="L105" s="78"/>
    </row>
    <row r="106" spans="1:12" x14ac:dyDescent="0.25">
      <c r="A106" s="81">
        <v>46317</v>
      </c>
      <c r="B106" s="82" t="s">
        <v>332</v>
      </c>
      <c r="C106" s="82" t="s">
        <v>127</v>
      </c>
      <c r="D106" s="59" t="str">
        <f>IFERROR(INDEX(Products!$B$6:$B$60,MATCH(C106,Products!$A$6:$A$60,0)),"")</f>
        <v>Cola Soft Drink 50cl PET</v>
      </c>
      <c r="E106" s="59" t="str">
        <f>IFERROR(INDEX(Products!$C$6:$C$60,MATCH(C106,Products!$A$6:$A$60,0)),"")</f>
        <v>Beverages</v>
      </c>
      <c r="F106" s="78" t="s">
        <v>215</v>
      </c>
      <c r="G106" s="83">
        <v>2</v>
      </c>
      <c r="H106" s="78" t="s">
        <v>230</v>
      </c>
      <c r="I106" s="82" t="s">
        <v>200</v>
      </c>
      <c r="J106" s="84">
        <f>IFERROR(IF(OR(F106="Sale",F106="Sales Return"),INDEX(Products!$G$6:$G$60,MATCH(C106,Products!$A$6:$A$60,0)),INDEX(Products!$F$6:$F$60,MATCH(C106,Products!$A$6:$A$60,0))),0)</f>
        <v>5900</v>
      </c>
      <c r="K106" s="84">
        <f t="shared" si="1"/>
        <v>11800</v>
      </c>
      <c r="L106" s="78"/>
    </row>
    <row r="107" spans="1:12" x14ac:dyDescent="0.25">
      <c r="A107" s="81">
        <v>46317</v>
      </c>
      <c r="B107" s="82" t="s">
        <v>333</v>
      </c>
      <c r="C107" s="82" t="s">
        <v>127</v>
      </c>
      <c r="D107" s="59" t="str">
        <f>IFERROR(INDEX(Products!$B$6:$B$60,MATCH(C107,Products!$A$6:$A$60,0)),"")</f>
        <v>Cola Soft Drink 50cl PET</v>
      </c>
      <c r="E107" s="59" t="str">
        <f>IFERROR(INDEX(Products!$C$6:$C$60,MATCH(C107,Products!$A$6:$A$60,0)),"")</f>
        <v>Beverages</v>
      </c>
      <c r="F107" s="78" t="s">
        <v>215</v>
      </c>
      <c r="G107" s="83">
        <v>5</v>
      </c>
      <c r="H107" s="78" t="s">
        <v>218</v>
      </c>
      <c r="I107" s="82" t="s">
        <v>200</v>
      </c>
      <c r="J107" s="84">
        <f>IFERROR(IF(OR(F107="Sale",F107="Sales Return"),INDEX(Products!$G$6:$G$60,MATCH(C107,Products!$A$6:$A$60,0)),INDEX(Products!$F$6:$F$60,MATCH(C107,Products!$A$6:$A$60,0))),0)</f>
        <v>5900</v>
      </c>
      <c r="K107" s="84">
        <f t="shared" si="1"/>
        <v>29500</v>
      </c>
      <c r="L107" s="78"/>
    </row>
    <row r="108" spans="1:12" x14ac:dyDescent="0.25">
      <c r="A108" s="81">
        <v>46317</v>
      </c>
      <c r="B108" s="82" t="s">
        <v>334</v>
      </c>
      <c r="C108" s="82" t="s">
        <v>132</v>
      </c>
      <c r="D108" s="59" t="str">
        <f>IFERROR(INDEX(Products!$B$6:$B$60,MATCH(C108,Products!$A$6:$A$60,0)),"")</f>
        <v>Orange Soft Drink 50cl PET</v>
      </c>
      <c r="E108" s="59" t="str">
        <f>IFERROR(INDEX(Products!$C$6:$C$60,MATCH(C108,Products!$A$6:$A$60,0)),"")</f>
        <v>Beverages</v>
      </c>
      <c r="F108" s="78" t="s">
        <v>215</v>
      </c>
      <c r="G108" s="83">
        <v>6</v>
      </c>
      <c r="H108" s="78" t="s">
        <v>242</v>
      </c>
      <c r="I108" s="82" t="s">
        <v>200</v>
      </c>
      <c r="J108" s="84">
        <f>IFERROR(IF(OR(F108="Sale",F108="Sales Return"),INDEX(Products!$G$6:$G$60,MATCH(C108,Products!$A$6:$A$60,0)),INDEX(Products!$F$6:$F$60,MATCH(C108,Products!$A$6:$A$60,0))),0)</f>
        <v>5900</v>
      </c>
      <c r="K108" s="84">
        <f t="shared" si="1"/>
        <v>35400</v>
      </c>
      <c r="L108" s="78"/>
    </row>
    <row r="109" spans="1:12" x14ac:dyDescent="0.25">
      <c r="A109" s="81">
        <v>46317</v>
      </c>
      <c r="B109" s="82" t="s">
        <v>335</v>
      </c>
      <c r="C109" s="82" t="s">
        <v>132</v>
      </c>
      <c r="D109" s="59" t="str">
        <f>IFERROR(INDEX(Products!$B$6:$B$60,MATCH(C109,Products!$A$6:$A$60,0)),"")</f>
        <v>Orange Soft Drink 50cl PET</v>
      </c>
      <c r="E109" s="59" t="str">
        <f>IFERROR(INDEX(Products!$C$6:$C$60,MATCH(C109,Products!$A$6:$A$60,0)),"")</f>
        <v>Beverages</v>
      </c>
      <c r="F109" s="78" t="s">
        <v>215</v>
      </c>
      <c r="G109" s="83">
        <v>2</v>
      </c>
      <c r="H109" s="78" t="s">
        <v>220</v>
      </c>
      <c r="I109" s="82" t="s">
        <v>221</v>
      </c>
      <c r="J109" s="84">
        <f>IFERROR(IF(OR(F109="Sale",F109="Sales Return"),INDEX(Products!$G$6:$G$60,MATCH(C109,Products!$A$6:$A$60,0)),INDEX(Products!$F$6:$F$60,MATCH(C109,Products!$A$6:$A$60,0))),0)</f>
        <v>5900</v>
      </c>
      <c r="K109" s="84">
        <f t="shared" si="1"/>
        <v>11800</v>
      </c>
      <c r="L109" s="78"/>
    </row>
    <row r="110" spans="1:12" x14ac:dyDescent="0.25">
      <c r="A110" s="81">
        <v>46317</v>
      </c>
      <c r="B110" s="82" t="s">
        <v>336</v>
      </c>
      <c r="C110" s="82" t="s">
        <v>134</v>
      </c>
      <c r="D110" s="59" t="str">
        <f>IFERROR(INDEX(Products!$B$6:$B$60,MATCH(C110,Products!$A$6:$A$60,0)),"")</f>
        <v>Table Water 75cl</v>
      </c>
      <c r="E110" s="59" t="str">
        <f>IFERROR(INDEX(Products!$C$6:$C$60,MATCH(C110,Products!$A$6:$A$60,0)),"")</f>
        <v>Beverages</v>
      </c>
      <c r="F110" s="78" t="s">
        <v>215</v>
      </c>
      <c r="G110" s="83">
        <v>6</v>
      </c>
      <c r="H110" s="78" t="s">
        <v>218</v>
      </c>
      <c r="I110" s="82" t="s">
        <v>221</v>
      </c>
      <c r="J110" s="84">
        <f>IFERROR(IF(OR(F110="Sale",F110="Sales Return"),INDEX(Products!$G$6:$G$60,MATCH(C110,Products!$A$6:$A$60,0)),INDEX(Products!$F$6:$F$60,MATCH(C110,Products!$A$6:$A$60,0))),0)</f>
        <v>2300</v>
      </c>
      <c r="K110" s="84">
        <f t="shared" si="1"/>
        <v>13800</v>
      </c>
      <c r="L110" s="78"/>
    </row>
    <row r="111" spans="1:12" x14ac:dyDescent="0.25">
      <c r="A111" s="81">
        <v>46317</v>
      </c>
      <c r="B111" s="82" t="s">
        <v>337</v>
      </c>
      <c r="C111" s="82" t="s">
        <v>134</v>
      </c>
      <c r="D111" s="59" t="str">
        <f>IFERROR(INDEX(Products!$B$6:$B$60,MATCH(C111,Products!$A$6:$A$60,0)),"")</f>
        <v>Table Water 75cl</v>
      </c>
      <c r="E111" s="59" t="str">
        <f>IFERROR(INDEX(Products!$C$6:$C$60,MATCH(C111,Products!$A$6:$A$60,0)),"")</f>
        <v>Beverages</v>
      </c>
      <c r="F111" s="78" t="s">
        <v>215</v>
      </c>
      <c r="G111" s="83">
        <v>5</v>
      </c>
      <c r="H111" s="78" t="s">
        <v>232</v>
      </c>
      <c r="I111" s="82" t="s">
        <v>195</v>
      </c>
      <c r="J111" s="84">
        <f>IFERROR(IF(OR(F111="Sale",F111="Sales Return"),INDEX(Products!$G$6:$G$60,MATCH(C111,Products!$A$6:$A$60,0)),INDEX(Products!$F$6:$F$60,MATCH(C111,Products!$A$6:$A$60,0))),0)</f>
        <v>2300</v>
      </c>
      <c r="K111" s="84">
        <f t="shared" si="1"/>
        <v>11500</v>
      </c>
      <c r="L111" s="78"/>
    </row>
    <row r="112" spans="1:12" x14ac:dyDescent="0.25">
      <c r="A112" s="81">
        <v>46317</v>
      </c>
      <c r="B112" s="82" t="s">
        <v>338</v>
      </c>
      <c r="C112" s="82" t="s">
        <v>134</v>
      </c>
      <c r="D112" s="59" t="str">
        <f>IFERROR(INDEX(Products!$B$6:$B$60,MATCH(C112,Products!$A$6:$A$60,0)),"")</f>
        <v>Table Water 75cl</v>
      </c>
      <c r="E112" s="59" t="str">
        <f>IFERROR(INDEX(Products!$C$6:$C$60,MATCH(C112,Products!$A$6:$A$60,0)),"")</f>
        <v>Beverages</v>
      </c>
      <c r="F112" s="78" t="s">
        <v>215</v>
      </c>
      <c r="G112" s="83">
        <v>1</v>
      </c>
      <c r="H112" s="78" t="s">
        <v>226</v>
      </c>
      <c r="I112" s="82" t="s">
        <v>195</v>
      </c>
      <c r="J112" s="84">
        <f>IFERROR(IF(OR(F112="Sale",F112="Sales Return"),INDEX(Products!$G$6:$G$60,MATCH(C112,Products!$A$6:$A$60,0)),INDEX(Products!$F$6:$F$60,MATCH(C112,Products!$A$6:$A$60,0))),0)</f>
        <v>2300</v>
      </c>
      <c r="K112" s="84">
        <f t="shared" si="1"/>
        <v>2300</v>
      </c>
      <c r="L112" s="78"/>
    </row>
    <row r="113" spans="1:12" x14ac:dyDescent="0.25">
      <c r="A113" s="81">
        <v>46317</v>
      </c>
      <c r="B113" s="82" t="s">
        <v>339</v>
      </c>
      <c r="C113" s="82" t="s">
        <v>137</v>
      </c>
      <c r="D113" s="59" t="str">
        <f>IFERROR(INDEX(Products!$B$6:$B$60,MATCH(C113,Products!$A$6:$A$60,0)),"")</f>
        <v>Malt Drink 33cl Can</v>
      </c>
      <c r="E113" s="59" t="str">
        <f>IFERROR(INDEX(Products!$C$6:$C$60,MATCH(C113,Products!$A$6:$A$60,0)),"")</f>
        <v>Beverages</v>
      </c>
      <c r="F113" s="78" t="s">
        <v>215</v>
      </c>
      <c r="G113" s="83">
        <v>1</v>
      </c>
      <c r="H113" s="78" t="s">
        <v>234</v>
      </c>
      <c r="I113" s="82" t="s">
        <v>195</v>
      </c>
      <c r="J113" s="84">
        <f>IFERROR(IF(OR(F113="Sale",F113="Sales Return"),INDEX(Products!$G$6:$G$60,MATCH(C113,Products!$A$6:$A$60,0)),INDEX(Products!$F$6:$F$60,MATCH(C113,Products!$A$6:$A$60,0))),0)</f>
        <v>11200</v>
      </c>
      <c r="K113" s="84">
        <f t="shared" si="1"/>
        <v>11200</v>
      </c>
      <c r="L113" s="78"/>
    </row>
    <row r="114" spans="1:12" x14ac:dyDescent="0.25">
      <c r="A114" s="81">
        <v>46317</v>
      </c>
      <c r="B114" s="82" t="s">
        <v>340</v>
      </c>
      <c r="C114" s="82" t="s">
        <v>157</v>
      </c>
      <c r="D114" s="59" t="str">
        <f>IFERROR(INDEX(Products!$B$6:$B$60,MATCH(C114,Products!$A$6:$A$60,0)),"")</f>
        <v>Detergent Powder 900g</v>
      </c>
      <c r="E114" s="59" t="str">
        <f>IFERROR(INDEX(Products!$C$6:$C$60,MATCH(C114,Products!$A$6:$A$60,0)),"")</f>
        <v>Home Care</v>
      </c>
      <c r="F114" s="78" t="s">
        <v>215</v>
      </c>
      <c r="G114" s="83">
        <v>2</v>
      </c>
      <c r="H114" s="78" t="s">
        <v>226</v>
      </c>
      <c r="I114" s="82" t="s">
        <v>200</v>
      </c>
      <c r="J114" s="84">
        <f>IFERROR(IF(OR(F114="Sale",F114="Sales Return"),INDEX(Products!$G$6:$G$60,MATCH(C114,Products!$A$6:$A$60,0)),INDEX(Products!$F$6:$F$60,MATCH(C114,Products!$A$6:$A$60,0))),0)</f>
        <v>16200</v>
      </c>
      <c r="K114" s="84">
        <f t="shared" si="1"/>
        <v>32400</v>
      </c>
      <c r="L114" s="78"/>
    </row>
    <row r="115" spans="1:12" x14ac:dyDescent="0.25">
      <c r="A115" s="81">
        <v>46317</v>
      </c>
      <c r="B115" s="82" t="s">
        <v>341</v>
      </c>
      <c r="C115" s="82" t="s">
        <v>161</v>
      </c>
      <c r="D115" s="59" t="str">
        <f>IFERROR(INDEX(Products!$B$6:$B$60,MATCH(C115,Products!$A$6:$A$60,0)),"")</f>
        <v>Detergent Powder 400g</v>
      </c>
      <c r="E115" s="59" t="str">
        <f>IFERROR(INDEX(Products!$C$6:$C$60,MATCH(C115,Products!$A$6:$A$60,0)),"")</f>
        <v>Home Care</v>
      </c>
      <c r="F115" s="78" t="s">
        <v>215</v>
      </c>
      <c r="G115" s="83">
        <v>2</v>
      </c>
      <c r="H115" s="78" t="s">
        <v>216</v>
      </c>
      <c r="I115" s="82" t="s">
        <v>221</v>
      </c>
      <c r="J115" s="84">
        <f>IFERROR(IF(OR(F115="Sale",F115="Sales Return"),INDEX(Products!$G$6:$G$60,MATCH(C115,Products!$A$6:$A$60,0)),INDEX(Products!$F$6:$F$60,MATCH(C115,Products!$A$6:$A$60,0))),0)</f>
        <v>19000</v>
      </c>
      <c r="K115" s="84">
        <f t="shared" si="1"/>
        <v>38000</v>
      </c>
      <c r="L115" s="78"/>
    </row>
    <row r="116" spans="1:12" x14ac:dyDescent="0.25">
      <c r="A116" s="81">
        <v>46317</v>
      </c>
      <c r="B116" s="82" t="s">
        <v>342</v>
      </c>
      <c r="C116" s="82" t="s">
        <v>163</v>
      </c>
      <c r="D116" s="59" t="str">
        <f>IFERROR(INDEX(Products!$B$6:$B$60,MATCH(C116,Products!$A$6:$A$60,0)),"")</f>
        <v>Laundry Bar Soap</v>
      </c>
      <c r="E116" s="59" t="str">
        <f>IFERROR(INDEX(Products!$C$6:$C$60,MATCH(C116,Products!$A$6:$A$60,0)),"")</f>
        <v>Home Care</v>
      </c>
      <c r="F116" s="78" t="s">
        <v>215</v>
      </c>
      <c r="G116" s="83">
        <v>3</v>
      </c>
      <c r="H116" s="78" t="s">
        <v>230</v>
      </c>
      <c r="I116" s="82" t="s">
        <v>200</v>
      </c>
      <c r="J116" s="84">
        <f>IFERROR(IF(OR(F116="Sale",F116="Sales Return"),INDEX(Products!$G$6:$G$60,MATCH(C116,Products!$A$6:$A$60,0)),INDEX(Products!$F$6:$F$60,MATCH(C116,Products!$A$6:$A$60,0))),0)</f>
        <v>10200</v>
      </c>
      <c r="K116" s="84">
        <f t="shared" si="1"/>
        <v>30600</v>
      </c>
      <c r="L116" s="78"/>
    </row>
    <row r="117" spans="1:12" x14ac:dyDescent="0.25">
      <c r="A117" s="81">
        <v>46317</v>
      </c>
      <c r="B117" s="82" t="s">
        <v>343</v>
      </c>
      <c r="C117" s="82" t="s">
        <v>165</v>
      </c>
      <c r="D117" s="59" t="str">
        <f>IFERROR(INDEX(Products!$B$6:$B$60,MATCH(C117,Products!$A$6:$A$60,0)),"")</f>
        <v>Evaporated Milk 160g Tin</v>
      </c>
      <c r="E117" s="59" t="str">
        <f>IFERROR(INDEX(Products!$C$6:$C$60,MATCH(C117,Products!$A$6:$A$60,0)),"")</f>
        <v>Packaged Food</v>
      </c>
      <c r="F117" s="78" t="s">
        <v>215</v>
      </c>
      <c r="G117" s="83">
        <v>3</v>
      </c>
      <c r="H117" s="78" t="s">
        <v>234</v>
      </c>
      <c r="I117" s="82" t="s">
        <v>195</v>
      </c>
      <c r="J117" s="84">
        <f>IFERROR(IF(OR(F117="Sale",F117="Sales Return"),INDEX(Products!$G$6:$G$60,MATCH(C117,Products!$A$6:$A$60,0)),INDEX(Products!$F$6:$F$60,MATCH(C117,Products!$A$6:$A$60,0))),0)</f>
        <v>31000</v>
      </c>
      <c r="K117" s="84">
        <f t="shared" si="1"/>
        <v>93000</v>
      </c>
      <c r="L117" s="78"/>
    </row>
    <row r="118" spans="1:12" x14ac:dyDescent="0.25">
      <c r="A118" s="81">
        <v>46317</v>
      </c>
      <c r="B118" s="82" t="s">
        <v>344</v>
      </c>
      <c r="C118" s="82" t="s">
        <v>170</v>
      </c>
      <c r="D118" s="59" t="str">
        <f>IFERROR(INDEX(Products!$B$6:$B$60,MATCH(C118,Products!$A$6:$A$60,0)),"")</f>
        <v>Tomato Paste 70g Sachet</v>
      </c>
      <c r="E118" s="59" t="str">
        <f>IFERROR(INDEX(Products!$C$6:$C$60,MATCH(C118,Products!$A$6:$A$60,0)),"")</f>
        <v>Packaged Food</v>
      </c>
      <c r="F118" s="78" t="s">
        <v>215</v>
      </c>
      <c r="G118" s="83">
        <v>1</v>
      </c>
      <c r="H118" s="78" t="s">
        <v>242</v>
      </c>
      <c r="I118" s="82" t="s">
        <v>200</v>
      </c>
      <c r="J118" s="84">
        <f>IFERROR(IF(OR(F118="Sale",F118="Sales Return"),INDEX(Products!$G$6:$G$60,MATCH(C118,Products!$A$6:$A$60,0)),INDEX(Products!$F$6:$F$60,MATCH(C118,Products!$A$6:$A$60,0))),0)</f>
        <v>17200</v>
      </c>
      <c r="K118" s="84">
        <f t="shared" si="1"/>
        <v>17200</v>
      </c>
      <c r="L118" s="78"/>
    </row>
    <row r="119" spans="1:12" x14ac:dyDescent="0.25">
      <c r="A119" s="81">
        <v>46317</v>
      </c>
      <c r="B119" s="82" t="s">
        <v>345</v>
      </c>
      <c r="C119" s="82" t="s">
        <v>170</v>
      </c>
      <c r="D119" s="59" t="str">
        <f>IFERROR(INDEX(Products!$B$6:$B$60,MATCH(C119,Products!$A$6:$A$60,0)),"")</f>
        <v>Tomato Paste 70g Sachet</v>
      </c>
      <c r="E119" s="59" t="str">
        <f>IFERROR(INDEX(Products!$C$6:$C$60,MATCH(C119,Products!$A$6:$A$60,0)),"")</f>
        <v>Packaged Food</v>
      </c>
      <c r="F119" s="78" t="s">
        <v>215</v>
      </c>
      <c r="G119" s="83">
        <v>4</v>
      </c>
      <c r="H119" s="78" t="s">
        <v>216</v>
      </c>
      <c r="I119" s="82" t="s">
        <v>221</v>
      </c>
      <c r="J119" s="84">
        <f>IFERROR(IF(OR(F119="Sale",F119="Sales Return"),INDEX(Products!$G$6:$G$60,MATCH(C119,Products!$A$6:$A$60,0)),INDEX(Products!$F$6:$F$60,MATCH(C119,Products!$A$6:$A$60,0))),0)</f>
        <v>17200</v>
      </c>
      <c r="K119" s="84">
        <f t="shared" si="1"/>
        <v>68800</v>
      </c>
      <c r="L119" s="78"/>
    </row>
    <row r="120" spans="1:12" x14ac:dyDescent="0.25">
      <c r="A120" s="81">
        <v>46317</v>
      </c>
      <c r="B120" s="82" t="s">
        <v>346</v>
      </c>
      <c r="C120" s="82" t="s">
        <v>170</v>
      </c>
      <c r="D120" s="59" t="str">
        <f>IFERROR(INDEX(Products!$B$6:$B$60,MATCH(C120,Products!$A$6:$A$60,0)),"")</f>
        <v>Tomato Paste 70g Sachet</v>
      </c>
      <c r="E120" s="59" t="str">
        <f>IFERROR(INDEX(Products!$C$6:$C$60,MATCH(C120,Products!$A$6:$A$60,0)),"")</f>
        <v>Packaged Food</v>
      </c>
      <c r="F120" s="78" t="s">
        <v>215</v>
      </c>
      <c r="G120" s="83">
        <v>1</v>
      </c>
      <c r="H120" s="78" t="s">
        <v>242</v>
      </c>
      <c r="I120" s="82" t="s">
        <v>200</v>
      </c>
      <c r="J120" s="84">
        <f>IFERROR(IF(OR(F120="Sale",F120="Sales Return"),INDEX(Products!$G$6:$G$60,MATCH(C120,Products!$A$6:$A$60,0)),INDEX(Products!$F$6:$F$60,MATCH(C120,Products!$A$6:$A$60,0))),0)</f>
        <v>17200</v>
      </c>
      <c r="K120" s="84">
        <f t="shared" si="1"/>
        <v>17200</v>
      </c>
      <c r="L120" s="78"/>
    </row>
    <row r="121" spans="1:12" x14ac:dyDescent="0.25">
      <c r="A121" s="81">
        <v>46317</v>
      </c>
      <c r="B121" s="82" t="s">
        <v>347</v>
      </c>
      <c r="C121" s="82" t="s">
        <v>173</v>
      </c>
      <c r="D121" s="59" t="str">
        <f>IFERROR(INDEX(Products!$B$6:$B$60,MATCH(C121,Products!$A$6:$A$60,0)),"")</f>
        <v>Seasoning Cubes</v>
      </c>
      <c r="E121" s="59" t="str">
        <f>IFERROR(INDEX(Products!$C$6:$C$60,MATCH(C121,Products!$A$6:$A$60,0)),"")</f>
        <v>Packaged Food</v>
      </c>
      <c r="F121" s="78" t="s">
        <v>215</v>
      </c>
      <c r="G121" s="83">
        <v>2</v>
      </c>
      <c r="H121" s="78" t="s">
        <v>242</v>
      </c>
      <c r="I121" s="82" t="s">
        <v>221</v>
      </c>
      <c r="J121" s="84">
        <f>IFERROR(IF(OR(F121="Sale",F121="Sales Return"),INDEX(Products!$G$6:$G$60,MATCH(C121,Products!$A$6:$A$60,0)),INDEX(Products!$F$6:$F$60,MATCH(C121,Products!$A$6:$A$60,0))),0)</f>
        <v>15500</v>
      </c>
      <c r="K121" s="84">
        <f t="shared" si="1"/>
        <v>31000</v>
      </c>
      <c r="L121" s="78"/>
    </row>
    <row r="122" spans="1:12" x14ac:dyDescent="0.25">
      <c r="A122" s="81">
        <v>46317</v>
      </c>
      <c r="B122" s="82" t="s">
        <v>348</v>
      </c>
      <c r="C122" s="82" t="s">
        <v>175</v>
      </c>
      <c r="D122" s="59" t="str">
        <f>IFERROR(INDEX(Products!$B$6:$B$60,MATCH(C122,Products!$A$6:$A$60,0)),"")</f>
        <v>Granulated Sugar 500g</v>
      </c>
      <c r="E122" s="59" t="str">
        <f>IFERROR(INDEX(Products!$C$6:$C$60,MATCH(C122,Products!$A$6:$A$60,0)),"")</f>
        <v>Packaged Food</v>
      </c>
      <c r="F122" s="78" t="s">
        <v>215</v>
      </c>
      <c r="G122" s="83">
        <v>4</v>
      </c>
      <c r="H122" s="78" t="s">
        <v>234</v>
      </c>
      <c r="I122" s="82" t="s">
        <v>195</v>
      </c>
      <c r="J122" s="84">
        <f>IFERROR(IF(OR(F122="Sale",F122="Sales Return"),INDEX(Products!$G$6:$G$60,MATCH(C122,Products!$A$6:$A$60,0)),INDEX(Products!$F$6:$F$60,MATCH(C122,Products!$A$6:$A$60,0))),0)</f>
        <v>18800</v>
      </c>
      <c r="K122" s="84">
        <f t="shared" si="1"/>
        <v>75200</v>
      </c>
      <c r="L122" s="78"/>
    </row>
    <row r="123" spans="1:12" x14ac:dyDescent="0.25">
      <c r="A123" s="81">
        <v>46317</v>
      </c>
      <c r="B123" s="82" t="s">
        <v>349</v>
      </c>
      <c r="C123" s="82" t="s">
        <v>175</v>
      </c>
      <c r="D123" s="59" t="str">
        <f>IFERROR(INDEX(Products!$B$6:$B$60,MATCH(C123,Products!$A$6:$A$60,0)),"")</f>
        <v>Granulated Sugar 500g</v>
      </c>
      <c r="E123" s="59" t="str">
        <f>IFERROR(INDEX(Products!$C$6:$C$60,MATCH(C123,Products!$A$6:$A$60,0)),"")</f>
        <v>Packaged Food</v>
      </c>
      <c r="F123" s="78" t="s">
        <v>215</v>
      </c>
      <c r="G123" s="83">
        <v>3</v>
      </c>
      <c r="H123" s="78" t="s">
        <v>230</v>
      </c>
      <c r="I123" s="82" t="s">
        <v>200</v>
      </c>
      <c r="J123" s="84">
        <f>IFERROR(IF(OR(F123="Sale",F123="Sales Return"),INDEX(Products!$G$6:$G$60,MATCH(C123,Products!$A$6:$A$60,0)),INDEX(Products!$F$6:$F$60,MATCH(C123,Products!$A$6:$A$60,0))),0)</f>
        <v>18800</v>
      </c>
      <c r="K123" s="84">
        <f t="shared" si="1"/>
        <v>56400</v>
      </c>
      <c r="L123" s="78"/>
    </row>
    <row r="124" spans="1:12" x14ac:dyDescent="0.25">
      <c r="A124" s="81">
        <v>46317</v>
      </c>
      <c r="B124" s="82" t="s">
        <v>350</v>
      </c>
      <c r="C124" s="82" t="s">
        <v>177</v>
      </c>
      <c r="D124" s="59" t="str">
        <f>IFERROR(INDEX(Products!$B$6:$B$60,MATCH(C124,Products!$A$6:$A$60,0)),"")</f>
        <v>Table Salt 500g</v>
      </c>
      <c r="E124" s="59" t="str">
        <f>IFERROR(INDEX(Products!$C$6:$C$60,MATCH(C124,Products!$A$6:$A$60,0)),"")</f>
        <v>Packaged Food</v>
      </c>
      <c r="F124" s="78" t="s">
        <v>215</v>
      </c>
      <c r="G124" s="83">
        <v>2</v>
      </c>
      <c r="H124" s="78" t="s">
        <v>230</v>
      </c>
      <c r="I124" s="82" t="s">
        <v>221</v>
      </c>
      <c r="J124" s="84">
        <f>IFERROR(IF(OR(F124="Sale",F124="Sales Return"),INDEX(Products!$G$6:$G$60,MATCH(C124,Products!$A$6:$A$60,0)),INDEX(Products!$F$6:$F$60,MATCH(C124,Products!$A$6:$A$60,0))),0)</f>
        <v>7400</v>
      </c>
      <c r="K124" s="84">
        <f t="shared" si="1"/>
        <v>14800</v>
      </c>
      <c r="L124" s="78"/>
    </row>
    <row r="125" spans="1:12" x14ac:dyDescent="0.25">
      <c r="A125" s="81">
        <v>46317</v>
      </c>
      <c r="B125" s="82" t="s">
        <v>351</v>
      </c>
      <c r="C125" s="82" t="s">
        <v>179</v>
      </c>
      <c r="D125" s="59" t="str">
        <f>IFERROR(INDEX(Products!$B$6:$B$60,MATCH(C125,Products!$A$6:$A$60,0)),"")</f>
        <v>Cocoa Beverage Powder 400g</v>
      </c>
      <c r="E125" s="59" t="str">
        <f>IFERROR(INDEX(Products!$C$6:$C$60,MATCH(C125,Products!$A$6:$A$60,0)),"")</f>
        <v>Packaged Food</v>
      </c>
      <c r="F125" s="78" t="s">
        <v>215</v>
      </c>
      <c r="G125" s="83">
        <v>1</v>
      </c>
      <c r="H125" s="78" t="s">
        <v>218</v>
      </c>
      <c r="I125" s="82" t="s">
        <v>200</v>
      </c>
      <c r="J125" s="84">
        <f>IFERROR(IF(OR(F125="Sale",F125="Sales Return"),INDEX(Products!$G$6:$G$60,MATCH(C125,Products!$A$6:$A$60,0)),INDEX(Products!$F$6:$F$60,MATCH(C125,Products!$A$6:$A$60,0))),0)</f>
        <v>23500</v>
      </c>
      <c r="K125" s="84">
        <f t="shared" si="1"/>
        <v>23500</v>
      </c>
      <c r="L125" s="78"/>
    </row>
    <row r="126" spans="1:12" x14ac:dyDescent="0.25">
      <c r="A126" s="81">
        <v>46317</v>
      </c>
      <c r="B126" s="82" t="s">
        <v>352</v>
      </c>
      <c r="C126" s="82" t="s">
        <v>140</v>
      </c>
      <c r="D126" s="59" t="str">
        <f>IFERROR(INDEX(Products!$B$6:$B$60,MATCH(C126,Products!$A$6:$A$60,0)),"")</f>
        <v>Instant Noodles Chicken 70g</v>
      </c>
      <c r="E126" s="59" t="str">
        <f>IFERROR(INDEX(Products!$C$6:$C$60,MATCH(C126,Products!$A$6:$A$60,0)),"")</f>
        <v>Noodles &amp; Pasta</v>
      </c>
      <c r="F126" s="78" t="s">
        <v>215</v>
      </c>
      <c r="G126" s="83">
        <v>5</v>
      </c>
      <c r="H126" s="78" t="s">
        <v>220</v>
      </c>
      <c r="I126" s="82" t="s">
        <v>221</v>
      </c>
      <c r="J126" s="84">
        <f>IFERROR(IF(OR(F126="Sale",F126="Sales Return"),INDEX(Products!$G$6:$G$60,MATCH(C126,Products!$A$6:$A$60,0)),INDEX(Products!$F$6:$F$60,MATCH(C126,Products!$A$6:$A$60,0))),0)</f>
        <v>8400</v>
      </c>
      <c r="K126" s="84">
        <f t="shared" si="1"/>
        <v>42000</v>
      </c>
      <c r="L126" s="78"/>
    </row>
    <row r="127" spans="1:12" x14ac:dyDescent="0.25">
      <c r="A127" s="81">
        <v>46317</v>
      </c>
      <c r="B127" s="82" t="s">
        <v>353</v>
      </c>
      <c r="C127" s="82" t="s">
        <v>140</v>
      </c>
      <c r="D127" s="59" t="str">
        <f>IFERROR(INDEX(Products!$B$6:$B$60,MATCH(C127,Products!$A$6:$A$60,0)),"")</f>
        <v>Instant Noodles Chicken 70g</v>
      </c>
      <c r="E127" s="59" t="str">
        <f>IFERROR(INDEX(Products!$C$6:$C$60,MATCH(C127,Products!$A$6:$A$60,0)),"")</f>
        <v>Noodles &amp; Pasta</v>
      </c>
      <c r="F127" s="78" t="s">
        <v>215</v>
      </c>
      <c r="G127" s="83">
        <v>6</v>
      </c>
      <c r="H127" s="78" t="s">
        <v>218</v>
      </c>
      <c r="I127" s="82" t="s">
        <v>200</v>
      </c>
      <c r="J127" s="84">
        <f>IFERROR(IF(OR(F127="Sale",F127="Sales Return"),INDEX(Products!$G$6:$G$60,MATCH(C127,Products!$A$6:$A$60,0)),INDEX(Products!$F$6:$F$60,MATCH(C127,Products!$A$6:$A$60,0))),0)</f>
        <v>8400</v>
      </c>
      <c r="K127" s="84">
        <f t="shared" si="1"/>
        <v>50400</v>
      </c>
      <c r="L127" s="78"/>
    </row>
    <row r="128" spans="1:12" x14ac:dyDescent="0.25">
      <c r="A128" s="81">
        <v>46317</v>
      </c>
      <c r="B128" s="82" t="s">
        <v>354</v>
      </c>
      <c r="C128" s="82" t="s">
        <v>140</v>
      </c>
      <c r="D128" s="59" t="str">
        <f>IFERROR(INDEX(Products!$B$6:$B$60,MATCH(C128,Products!$A$6:$A$60,0)),"")</f>
        <v>Instant Noodles Chicken 70g</v>
      </c>
      <c r="E128" s="59" t="str">
        <f>IFERROR(INDEX(Products!$C$6:$C$60,MATCH(C128,Products!$A$6:$A$60,0)),"")</f>
        <v>Noodles &amp; Pasta</v>
      </c>
      <c r="F128" s="78" t="s">
        <v>215</v>
      </c>
      <c r="G128" s="83">
        <v>3</v>
      </c>
      <c r="H128" s="78" t="s">
        <v>230</v>
      </c>
      <c r="I128" s="82" t="s">
        <v>221</v>
      </c>
      <c r="J128" s="84">
        <f>IFERROR(IF(OR(F128="Sale",F128="Sales Return"),INDEX(Products!$G$6:$G$60,MATCH(C128,Products!$A$6:$A$60,0)),INDEX(Products!$F$6:$F$60,MATCH(C128,Products!$A$6:$A$60,0))),0)</f>
        <v>8400</v>
      </c>
      <c r="K128" s="84">
        <f t="shared" si="1"/>
        <v>25200</v>
      </c>
      <c r="L128" s="78"/>
    </row>
    <row r="129" spans="1:12" x14ac:dyDescent="0.25">
      <c r="A129" s="81">
        <v>46317</v>
      </c>
      <c r="B129" s="82" t="s">
        <v>355</v>
      </c>
      <c r="C129" s="82" t="s">
        <v>145</v>
      </c>
      <c r="D129" s="59" t="str">
        <f>IFERROR(INDEX(Products!$B$6:$B$60,MATCH(C129,Products!$A$6:$A$60,0)),"")</f>
        <v>Instant Noodles Onion 70g</v>
      </c>
      <c r="E129" s="59" t="str">
        <f>IFERROR(INDEX(Products!$C$6:$C$60,MATCH(C129,Products!$A$6:$A$60,0)),"")</f>
        <v>Noodles &amp; Pasta</v>
      </c>
      <c r="F129" s="78" t="s">
        <v>215</v>
      </c>
      <c r="G129" s="83">
        <v>4</v>
      </c>
      <c r="H129" s="78" t="s">
        <v>234</v>
      </c>
      <c r="I129" s="82" t="s">
        <v>195</v>
      </c>
      <c r="J129" s="84">
        <f>IFERROR(IF(OR(F129="Sale",F129="Sales Return"),INDEX(Products!$G$6:$G$60,MATCH(C129,Products!$A$6:$A$60,0)),INDEX(Products!$F$6:$F$60,MATCH(C129,Products!$A$6:$A$60,0))),0)</f>
        <v>8500</v>
      </c>
      <c r="K129" s="84">
        <f t="shared" si="1"/>
        <v>34000</v>
      </c>
      <c r="L129" s="78"/>
    </row>
    <row r="130" spans="1:12" x14ac:dyDescent="0.25">
      <c r="A130" s="81">
        <v>46317</v>
      </c>
      <c r="B130" s="82" t="s">
        <v>356</v>
      </c>
      <c r="C130" s="82" t="s">
        <v>145</v>
      </c>
      <c r="D130" s="59" t="str">
        <f>IFERROR(INDEX(Products!$B$6:$B$60,MATCH(C130,Products!$A$6:$A$60,0)),"")</f>
        <v>Instant Noodles Onion 70g</v>
      </c>
      <c r="E130" s="59" t="str">
        <f>IFERROR(INDEX(Products!$C$6:$C$60,MATCH(C130,Products!$A$6:$A$60,0)),"")</f>
        <v>Noodles &amp; Pasta</v>
      </c>
      <c r="F130" s="78" t="s">
        <v>215</v>
      </c>
      <c r="G130" s="83">
        <v>6</v>
      </c>
      <c r="H130" s="78" t="s">
        <v>220</v>
      </c>
      <c r="I130" s="82" t="s">
        <v>221</v>
      </c>
      <c r="J130" s="84">
        <f>IFERROR(IF(OR(F130="Sale",F130="Sales Return"),INDEX(Products!$G$6:$G$60,MATCH(C130,Products!$A$6:$A$60,0)),INDEX(Products!$F$6:$F$60,MATCH(C130,Products!$A$6:$A$60,0))),0)</f>
        <v>8500</v>
      </c>
      <c r="K130" s="84">
        <f t="shared" si="1"/>
        <v>51000</v>
      </c>
      <c r="L130" s="78"/>
    </row>
    <row r="131" spans="1:12" x14ac:dyDescent="0.25">
      <c r="A131" s="81">
        <v>46317</v>
      </c>
      <c r="B131" s="82" t="s">
        <v>357</v>
      </c>
      <c r="C131" s="82" t="s">
        <v>147</v>
      </c>
      <c r="D131" s="59" t="str">
        <f>IFERROR(INDEX(Products!$B$6:$B$60,MATCH(C131,Products!$A$6:$A$60,0)),"")</f>
        <v>Spaghetti 500g</v>
      </c>
      <c r="E131" s="59" t="str">
        <f>IFERROR(INDEX(Products!$C$6:$C$60,MATCH(C131,Products!$A$6:$A$60,0)),"")</f>
        <v>Noodles &amp; Pasta</v>
      </c>
      <c r="F131" s="78" t="s">
        <v>215</v>
      </c>
      <c r="G131" s="83">
        <v>1</v>
      </c>
      <c r="H131" s="78" t="s">
        <v>226</v>
      </c>
      <c r="I131" s="82" t="s">
        <v>200</v>
      </c>
      <c r="J131" s="84">
        <f>IFERROR(IF(OR(F131="Sale",F131="Sales Return"),INDEX(Products!$G$6:$G$60,MATCH(C131,Products!$A$6:$A$60,0)),INDEX(Products!$F$6:$F$60,MATCH(C131,Products!$A$6:$A$60,0))),0)</f>
        <v>12800</v>
      </c>
      <c r="K131" s="84">
        <f t="shared" si="1"/>
        <v>12800</v>
      </c>
      <c r="L131" s="78"/>
    </row>
    <row r="132" spans="1:12" x14ac:dyDescent="0.25">
      <c r="A132" s="81">
        <v>46317</v>
      </c>
      <c r="B132" s="82" t="s">
        <v>358</v>
      </c>
      <c r="C132" s="82" t="s">
        <v>150</v>
      </c>
      <c r="D132" s="59" t="str">
        <f>IFERROR(INDEX(Products!$B$6:$B$60,MATCH(C132,Products!$A$6:$A$60,0)),"")</f>
        <v>Vegetable Oil 5L</v>
      </c>
      <c r="E132" s="59" t="str">
        <f>IFERROR(INDEX(Products!$C$6:$C$60,MATCH(C132,Products!$A$6:$A$60,0)),"")</f>
        <v>Cooking Oil</v>
      </c>
      <c r="F132" s="78" t="s">
        <v>215</v>
      </c>
      <c r="G132" s="83">
        <v>3</v>
      </c>
      <c r="H132" s="78" t="s">
        <v>234</v>
      </c>
      <c r="I132" s="82" t="s">
        <v>195</v>
      </c>
      <c r="J132" s="84">
        <f>IFERROR(IF(OR(F132="Sale",F132="Sales Return"),INDEX(Products!$G$6:$G$60,MATCH(C132,Products!$A$6:$A$60,0)),INDEX(Products!$F$6:$F$60,MATCH(C132,Products!$A$6:$A$60,0))),0)</f>
        <v>41500</v>
      </c>
      <c r="K132" s="84">
        <f t="shared" si="1"/>
        <v>124500</v>
      </c>
      <c r="L132" s="78"/>
    </row>
    <row r="133" spans="1:12" x14ac:dyDescent="0.25">
      <c r="A133" s="81">
        <v>46317</v>
      </c>
      <c r="B133" s="82" t="s">
        <v>359</v>
      </c>
      <c r="C133" s="82" t="s">
        <v>155</v>
      </c>
      <c r="D133" s="59" t="str">
        <f>IFERROR(INDEX(Products!$B$6:$B$60,MATCH(C133,Products!$A$6:$A$60,0)),"")</f>
        <v>Vegetable Oil 1L</v>
      </c>
      <c r="E133" s="59" t="str">
        <f>IFERROR(INDEX(Products!$C$6:$C$60,MATCH(C133,Products!$A$6:$A$60,0)),"")</f>
        <v>Cooking Oil</v>
      </c>
      <c r="F133" s="78" t="s">
        <v>215</v>
      </c>
      <c r="G133" s="83">
        <v>2</v>
      </c>
      <c r="H133" s="78" t="s">
        <v>216</v>
      </c>
      <c r="I133" s="82" t="s">
        <v>195</v>
      </c>
      <c r="J133" s="84">
        <f>IFERROR(IF(OR(F133="Sale",F133="Sales Return"),INDEX(Products!$G$6:$G$60,MATCH(C133,Products!$A$6:$A$60,0)),INDEX(Products!$F$6:$F$60,MATCH(C133,Products!$A$6:$A$60,0))),0)</f>
        <v>39000</v>
      </c>
      <c r="K133" s="84">
        <f t="shared" si="1"/>
        <v>78000</v>
      </c>
      <c r="L133" s="78"/>
    </row>
    <row r="134" spans="1:12" x14ac:dyDescent="0.25">
      <c r="A134" s="81">
        <v>46317</v>
      </c>
      <c r="B134" s="82" t="s">
        <v>360</v>
      </c>
      <c r="C134" s="82" t="s">
        <v>170</v>
      </c>
      <c r="D134" s="59" t="str">
        <f>IFERROR(INDEX(Products!$B$6:$B$60,MATCH(C134,Products!$A$6:$A$60,0)),"")</f>
        <v>Tomato Paste 70g Sachet</v>
      </c>
      <c r="E134" s="59" t="str">
        <f>IFERROR(INDEX(Products!$C$6:$C$60,MATCH(C134,Products!$A$6:$A$60,0)),"")</f>
        <v>Packaged Food</v>
      </c>
      <c r="F134" s="78" t="s">
        <v>258</v>
      </c>
      <c r="G134" s="83">
        <v>2</v>
      </c>
      <c r="H134" s="78" t="s">
        <v>259</v>
      </c>
      <c r="I134" s="82"/>
      <c r="J134" s="84">
        <f>IFERROR(IF(OR(F134="Sale",F134="Sales Return"),INDEX(Products!$G$6:$G$60,MATCH(C134,Products!$A$6:$A$60,0)),INDEX(Products!$F$6:$F$60,MATCH(C134,Products!$A$6:$A$60,0))),0)</f>
        <v>15500</v>
      </c>
      <c r="K134" s="84">
        <f t="shared" ref="K134:K197" si="2">G134*J134</f>
        <v>31000</v>
      </c>
      <c r="L134" s="78" t="s">
        <v>303</v>
      </c>
    </row>
    <row r="135" spans="1:12" x14ac:dyDescent="0.25">
      <c r="A135" s="81">
        <v>46317</v>
      </c>
      <c r="B135" s="82" t="s">
        <v>361</v>
      </c>
      <c r="C135" s="82" t="s">
        <v>140</v>
      </c>
      <c r="D135" s="59" t="str">
        <f>IFERROR(INDEX(Products!$B$6:$B$60,MATCH(C135,Products!$A$6:$A$60,0)),"")</f>
        <v>Instant Noodles Chicken 70g</v>
      </c>
      <c r="E135" s="59" t="str">
        <f>IFERROR(INDEX(Products!$C$6:$C$60,MATCH(C135,Products!$A$6:$A$60,0)),"")</f>
        <v>Noodles &amp; Pasta</v>
      </c>
      <c r="F135" s="78" t="s">
        <v>258</v>
      </c>
      <c r="G135" s="83">
        <v>2</v>
      </c>
      <c r="H135" s="78" t="s">
        <v>259</v>
      </c>
      <c r="I135" s="82"/>
      <c r="J135" s="84">
        <f>IFERROR(IF(OR(F135="Sale",F135="Sales Return"),INDEX(Products!$G$6:$G$60,MATCH(C135,Products!$A$6:$A$60,0)),INDEX(Products!$F$6:$F$60,MATCH(C135,Products!$A$6:$A$60,0))),0)</f>
        <v>7600</v>
      </c>
      <c r="K135" s="84">
        <f t="shared" si="2"/>
        <v>15200</v>
      </c>
      <c r="L135" s="78" t="s">
        <v>362</v>
      </c>
    </row>
    <row r="136" spans="1:12" x14ac:dyDescent="0.25">
      <c r="A136" s="81">
        <v>46318</v>
      </c>
      <c r="B136" s="82" t="s">
        <v>363</v>
      </c>
      <c r="C136" s="82" t="s">
        <v>127</v>
      </c>
      <c r="D136" s="59" t="str">
        <f>IFERROR(INDEX(Products!$B$6:$B$60,MATCH(C136,Products!$A$6:$A$60,0)),"")</f>
        <v>Cola Soft Drink 50cl PET</v>
      </c>
      <c r="E136" s="59" t="str">
        <f>IFERROR(INDEX(Products!$C$6:$C$60,MATCH(C136,Products!$A$6:$A$60,0)),"")</f>
        <v>Beverages</v>
      </c>
      <c r="F136" s="78" t="s">
        <v>262</v>
      </c>
      <c r="G136" s="83">
        <v>2</v>
      </c>
      <c r="H136" s="78" t="s">
        <v>226</v>
      </c>
      <c r="I136" s="82"/>
      <c r="J136" s="84">
        <f>IFERROR(IF(OR(F136="Sale",F136="Sales Return"),INDEX(Products!$G$6:$G$60,MATCH(C136,Products!$A$6:$A$60,0)),INDEX(Products!$F$6:$F$60,MATCH(C136,Products!$A$6:$A$60,0))),0)</f>
        <v>5900</v>
      </c>
      <c r="K136" s="84">
        <f t="shared" si="2"/>
        <v>11800</v>
      </c>
      <c r="L136" s="78" t="s">
        <v>364</v>
      </c>
    </row>
    <row r="137" spans="1:12" x14ac:dyDescent="0.25">
      <c r="A137" s="81">
        <v>46318</v>
      </c>
      <c r="B137" s="82" t="s">
        <v>365</v>
      </c>
      <c r="C137" s="82" t="s">
        <v>127</v>
      </c>
      <c r="D137" s="59" t="str">
        <f>IFERROR(INDEX(Products!$B$6:$B$60,MATCH(C137,Products!$A$6:$A$60,0)),"")</f>
        <v>Cola Soft Drink 50cl PET</v>
      </c>
      <c r="E137" s="59" t="str">
        <f>IFERROR(INDEX(Products!$C$6:$C$60,MATCH(C137,Products!$A$6:$A$60,0)),"")</f>
        <v>Beverages</v>
      </c>
      <c r="F137" s="78" t="s">
        <v>215</v>
      </c>
      <c r="G137" s="83">
        <v>13</v>
      </c>
      <c r="H137" s="78" t="s">
        <v>216</v>
      </c>
      <c r="I137" s="82" t="s">
        <v>195</v>
      </c>
      <c r="J137" s="84">
        <f>IFERROR(IF(OR(F137="Sale",F137="Sales Return"),INDEX(Products!$G$6:$G$60,MATCH(C137,Products!$A$6:$A$60,0)),INDEX(Products!$F$6:$F$60,MATCH(C137,Products!$A$6:$A$60,0))),0)</f>
        <v>5900</v>
      </c>
      <c r="K137" s="84">
        <f t="shared" si="2"/>
        <v>76700</v>
      </c>
      <c r="L137" s="78"/>
    </row>
    <row r="138" spans="1:12" x14ac:dyDescent="0.25">
      <c r="A138" s="81">
        <v>46318</v>
      </c>
      <c r="B138" s="82" t="s">
        <v>366</v>
      </c>
      <c r="C138" s="82" t="s">
        <v>127</v>
      </c>
      <c r="D138" s="59" t="str">
        <f>IFERROR(INDEX(Products!$B$6:$B$60,MATCH(C138,Products!$A$6:$A$60,0)),"")</f>
        <v>Cola Soft Drink 50cl PET</v>
      </c>
      <c r="E138" s="59" t="str">
        <f>IFERROR(INDEX(Products!$C$6:$C$60,MATCH(C138,Products!$A$6:$A$60,0)),"")</f>
        <v>Beverages</v>
      </c>
      <c r="F138" s="78" t="s">
        <v>215</v>
      </c>
      <c r="G138" s="83">
        <v>1</v>
      </c>
      <c r="H138" s="78" t="s">
        <v>232</v>
      </c>
      <c r="I138" s="82" t="s">
        <v>195</v>
      </c>
      <c r="J138" s="84">
        <f>IFERROR(IF(OR(F138="Sale",F138="Sales Return"),INDEX(Products!$G$6:$G$60,MATCH(C138,Products!$A$6:$A$60,0)),INDEX(Products!$F$6:$F$60,MATCH(C138,Products!$A$6:$A$60,0))),0)</f>
        <v>5900</v>
      </c>
      <c r="K138" s="84">
        <f t="shared" si="2"/>
        <v>5900</v>
      </c>
      <c r="L138" s="78"/>
    </row>
    <row r="139" spans="1:12" x14ac:dyDescent="0.25">
      <c r="A139" s="81">
        <v>46318</v>
      </c>
      <c r="B139" s="82" t="s">
        <v>367</v>
      </c>
      <c r="C139" s="82" t="s">
        <v>132</v>
      </c>
      <c r="D139" s="59" t="str">
        <f>IFERROR(INDEX(Products!$B$6:$B$60,MATCH(C139,Products!$A$6:$A$60,0)),"")</f>
        <v>Orange Soft Drink 50cl PET</v>
      </c>
      <c r="E139" s="59" t="str">
        <f>IFERROR(INDEX(Products!$C$6:$C$60,MATCH(C139,Products!$A$6:$A$60,0)),"")</f>
        <v>Beverages</v>
      </c>
      <c r="F139" s="78" t="s">
        <v>215</v>
      </c>
      <c r="G139" s="83">
        <v>5</v>
      </c>
      <c r="H139" s="78" t="s">
        <v>234</v>
      </c>
      <c r="I139" s="82" t="s">
        <v>195</v>
      </c>
      <c r="J139" s="84">
        <f>IFERROR(IF(OR(F139="Sale",F139="Sales Return"),INDEX(Products!$G$6:$G$60,MATCH(C139,Products!$A$6:$A$60,0)),INDEX(Products!$F$6:$F$60,MATCH(C139,Products!$A$6:$A$60,0))),0)</f>
        <v>5900</v>
      </c>
      <c r="K139" s="84">
        <f t="shared" si="2"/>
        <v>29500</v>
      </c>
      <c r="L139" s="78"/>
    </row>
    <row r="140" spans="1:12" x14ac:dyDescent="0.25">
      <c r="A140" s="81">
        <v>46318</v>
      </c>
      <c r="B140" s="82" t="s">
        <v>368</v>
      </c>
      <c r="C140" s="82" t="s">
        <v>132</v>
      </c>
      <c r="D140" s="59" t="str">
        <f>IFERROR(INDEX(Products!$B$6:$B$60,MATCH(C140,Products!$A$6:$A$60,0)),"")</f>
        <v>Orange Soft Drink 50cl PET</v>
      </c>
      <c r="E140" s="59" t="str">
        <f>IFERROR(INDEX(Products!$C$6:$C$60,MATCH(C140,Products!$A$6:$A$60,0)),"")</f>
        <v>Beverages</v>
      </c>
      <c r="F140" s="78" t="s">
        <v>215</v>
      </c>
      <c r="G140" s="83">
        <v>2</v>
      </c>
      <c r="H140" s="78" t="s">
        <v>230</v>
      </c>
      <c r="I140" s="82" t="s">
        <v>200</v>
      </c>
      <c r="J140" s="84">
        <f>IFERROR(IF(OR(F140="Sale",F140="Sales Return"),INDEX(Products!$G$6:$G$60,MATCH(C140,Products!$A$6:$A$60,0)),INDEX(Products!$F$6:$F$60,MATCH(C140,Products!$A$6:$A$60,0))),0)</f>
        <v>5900</v>
      </c>
      <c r="K140" s="84">
        <f t="shared" si="2"/>
        <v>11800</v>
      </c>
      <c r="L140" s="78"/>
    </row>
    <row r="141" spans="1:12" x14ac:dyDescent="0.25">
      <c r="A141" s="81">
        <v>46318</v>
      </c>
      <c r="B141" s="82" t="s">
        <v>369</v>
      </c>
      <c r="C141" s="82" t="s">
        <v>134</v>
      </c>
      <c r="D141" s="59" t="str">
        <f>IFERROR(INDEX(Products!$B$6:$B$60,MATCH(C141,Products!$A$6:$A$60,0)),"")</f>
        <v>Table Water 75cl</v>
      </c>
      <c r="E141" s="59" t="str">
        <f>IFERROR(INDEX(Products!$C$6:$C$60,MATCH(C141,Products!$A$6:$A$60,0)),"")</f>
        <v>Beverages</v>
      </c>
      <c r="F141" s="78" t="s">
        <v>215</v>
      </c>
      <c r="G141" s="83">
        <v>7</v>
      </c>
      <c r="H141" s="78" t="s">
        <v>220</v>
      </c>
      <c r="I141" s="82" t="s">
        <v>221</v>
      </c>
      <c r="J141" s="84">
        <f>IFERROR(IF(OR(F141="Sale",F141="Sales Return"),INDEX(Products!$G$6:$G$60,MATCH(C141,Products!$A$6:$A$60,0)),INDEX(Products!$F$6:$F$60,MATCH(C141,Products!$A$6:$A$60,0))),0)</f>
        <v>2300</v>
      </c>
      <c r="K141" s="84">
        <f t="shared" si="2"/>
        <v>16100</v>
      </c>
      <c r="L141" s="78"/>
    </row>
    <row r="142" spans="1:12" x14ac:dyDescent="0.25">
      <c r="A142" s="81">
        <v>46318</v>
      </c>
      <c r="B142" s="82" t="s">
        <v>370</v>
      </c>
      <c r="C142" s="82" t="s">
        <v>134</v>
      </c>
      <c r="D142" s="59" t="str">
        <f>IFERROR(INDEX(Products!$B$6:$B$60,MATCH(C142,Products!$A$6:$A$60,0)),"")</f>
        <v>Table Water 75cl</v>
      </c>
      <c r="E142" s="59" t="str">
        <f>IFERROR(INDEX(Products!$C$6:$C$60,MATCH(C142,Products!$A$6:$A$60,0)),"")</f>
        <v>Beverages</v>
      </c>
      <c r="F142" s="78" t="s">
        <v>215</v>
      </c>
      <c r="G142" s="83">
        <v>1</v>
      </c>
      <c r="H142" s="78" t="s">
        <v>242</v>
      </c>
      <c r="I142" s="82" t="s">
        <v>200</v>
      </c>
      <c r="J142" s="84">
        <f>IFERROR(IF(OR(F142="Sale",F142="Sales Return"),INDEX(Products!$G$6:$G$60,MATCH(C142,Products!$A$6:$A$60,0)),INDEX(Products!$F$6:$F$60,MATCH(C142,Products!$A$6:$A$60,0))),0)</f>
        <v>2300</v>
      </c>
      <c r="K142" s="84">
        <f t="shared" si="2"/>
        <v>2300</v>
      </c>
      <c r="L142" s="78"/>
    </row>
    <row r="143" spans="1:12" x14ac:dyDescent="0.25">
      <c r="A143" s="81">
        <v>46318</v>
      </c>
      <c r="B143" s="82" t="s">
        <v>371</v>
      </c>
      <c r="C143" s="82" t="s">
        <v>134</v>
      </c>
      <c r="D143" s="59" t="str">
        <f>IFERROR(INDEX(Products!$B$6:$B$60,MATCH(C143,Products!$A$6:$A$60,0)),"")</f>
        <v>Table Water 75cl</v>
      </c>
      <c r="E143" s="59" t="str">
        <f>IFERROR(INDEX(Products!$C$6:$C$60,MATCH(C143,Products!$A$6:$A$60,0)),"")</f>
        <v>Beverages</v>
      </c>
      <c r="F143" s="78" t="s">
        <v>215</v>
      </c>
      <c r="G143" s="83">
        <v>5</v>
      </c>
      <c r="H143" s="78" t="s">
        <v>226</v>
      </c>
      <c r="I143" s="82" t="s">
        <v>200</v>
      </c>
      <c r="J143" s="84">
        <f>IFERROR(IF(OR(F143="Sale",F143="Sales Return"),INDEX(Products!$G$6:$G$60,MATCH(C143,Products!$A$6:$A$60,0)),INDEX(Products!$F$6:$F$60,MATCH(C143,Products!$A$6:$A$60,0))),0)</f>
        <v>2300</v>
      </c>
      <c r="K143" s="84">
        <f t="shared" si="2"/>
        <v>11500</v>
      </c>
      <c r="L143" s="78"/>
    </row>
    <row r="144" spans="1:12" x14ac:dyDescent="0.25">
      <c r="A144" s="81">
        <v>46318</v>
      </c>
      <c r="B144" s="82" t="s">
        <v>372</v>
      </c>
      <c r="C144" s="82" t="s">
        <v>137</v>
      </c>
      <c r="D144" s="59" t="str">
        <f>IFERROR(INDEX(Products!$B$6:$B$60,MATCH(C144,Products!$A$6:$A$60,0)),"")</f>
        <v>Malt Drink 33cl Can</v>
      </c>
      <c r="E144" s="59" t="str">
        <f>IFERROR(INDEX(Products!$C$6:$C$60,MATCH(C144,Products!$A$6:$A$60,0)),"")</f>
        <v>Beverages</v>
      </c>
      <c r="F144" s="78" t="s">
        <v>215</v>
      </c>
      <c r="G144" s="83">
        <v>1</v>
      </c>
      <c r="H144" s="78" t="s">
        <v>232</v>
      </c>
      <c r="I144" s="82" t="s">
        <v>221</v>
      </c>
      <c r="J144" s="84">
        <f>IFERROR(IF(OR(F144="Sale",F144="Sales Return"),INDEX(Products!$G$6:$G$60,MATCH(C144,Products!$A$6:$A$60,0)),INDEX(Products!$F$6:$F$60,MATCH(C144,Products!$A$6:$A$60,0))),0)</f>
        <v>11200</v>
      </c>
      <c r="K144" s="84">
        <f t="shared" si="2"/>
        <v>11200</v>
      </c>
      <c r="L144" s="78"/>
    </row>
    <row r="145" spans="1:12" x14ac:dyDescent="0.25">
      <c r="A145" s="81">
        <v>46318</v>
      </c>
      <c r="B145" s="82" t="s">
        <v>373</v>
      </c>
      <c r="C145" s="82" t="s">
        <v>157</v>
      </c>
      <c r="D145" s="59" t="str">
        <f>IFERROR(INDEX(Products!$B$6:$B$60,MATCH(C145,Products!$A$6:$A$60,0)),"")</f>
        <v>Detergent Powder 900g</v>
      </c>
      <c r="E145" s="59" t="str">
        <f>IFERROR(INDEX(Products!$C$6:$C$60,MATCH(C145,Products!$A$6:$A$60,0)),"")</f>
        <v>Home Care</v>
      </c>
      <c r="F145" s="78" t="s">
        <v>215</v>
      </c>
      <c r="G145" s="83">
        <v>5</v>
      </c>
      <c r="H145" s="78" t="s">
        <v>220</v>
      </c>
      <c r="I145" s="82" t="s">
        <v>195</v>
      </c>
      <c r="J145" s="84">
        <f>IFERROR(IF(OR(F145="Sale",F145="Sales Return"),INDEX(Products!$G$6:$G$60,MATCH(C145,Products!$A$6:$A$60,0)),INDEX(Products!$F$6:$F$60,MATCH(C145,Products!$A$6:$A$60,0))),0)</f>
        <v>16200</v>
      </c>
      <c r="K145" s="84">
        <f t="shared" si="2"/>
        <v>81000</v>
      </c>
      <c r="L145" s="78"/>
    </row>
    <row r="146" spans="1:12" x14ac:dyDescent="0.25">
      <c r="A146" s="81">
        <v>46318</v>
      </c>
      <c r="B146" s="82" t="s">
        <v>374</v>
      </c>
      <c r="C146" s="82" t="s">
        <v>157</v>
      </c>
      <c r="D146" s="59" t="str">
        <f>IFERROR(INDEX(Products!$B$6:$B$60,MATCH(C146,Products!$A$6:$A$60,0)),"")</f>
        <v>Detergent Powder 900g</v>
      </c>
      <c r="E146" s="59" t="str">
        <f>IFERROR(INDEX(Products!$C$6:$C$60,MATCH(C146,Products!$A$6:$A$60,0)),"")</f>
        <v>Home Care</v>
      </c>
      <c r="F146" s="78" t="s">
        <v>215</v>
      </c>
      <c r="G146" s="83">
        <v>2</v>
      </c>
      <c r="H146" s="78" t="s">
        <v>242</v>
      </c>
      <c r="I146" s="82" t="s">
        <v>200</v>
      </c>
      <c r="J146" s="84">
        <f>IFERROR(IF(OR(F146="Sale",F146="Sales Return"),INDEX(Products!$G$6:$G$60,MATCH(C146,Products!$A$6:$A$60,0)),INDEX(Products!$F$6:$F$60,MATCH(C146,Products!$A$6:$A$60,0))),0)</f>
        <v>16200</v>
      </c>
      <c r="K146" s="84">
        <f t="shared" si="2"/>
        <v>32400</v>
      </c>
      <c r="L146" s="78"/>
    </row>
    <row r="147" spans="1:12" x14ac:dyDescent="0.25">
      <c r="A147" s="81">
        <v>46318</v>
      </c>
      <c r="B147" s="82" t="s">
        <v>375</v>
      </c>
      <c r="C147" s="82" t="s">
        <v>157</v>
      </c>
      <c r="D147" s="59" t="str">
        <f>IFERROR(INDEX(Products!$B$6:$B$60,MATCH(C147,Products!$A$6:$A$60,0)),"")</f>
        <v>Detergent Powder 900g</v>
      </c>
      <c r="E147" s="59" t="str">
        <f>IFERROR(INDEX(Products!$C$6:$C$60,MATCH(C147,Products!$A$6:$A$60,0)),"")</f>
        <v>Home Care</v>
      </c>
      <c r="F147" s="78" t="s">
        <v>215</v>
      </c>
      <c r="G147" s="83">
        <v>1</v>
      </c>
      <c r="H147" s="78" t="s">
        <v>232</v>
      </c>
      <c r="I147" s="82" t="s">
        <v>200</v>
      </c>
      <c r="J147" s="84">
        <f>IFERROR(IF(OR(F147="Sale",F147="Sales Return"),INDEX(Products!$G$6:$G$60,MATCH(C147,Products!$A$6:$A$60,0)),INDEX(Products!$F$6:$F$60,MATCH(C147,Products!$A$6:$A$60,0))),0)</f>
        <v>16200</v>
      </c>
      <c r="K147" s="84">
        <f t="shared" si="2"/>
        <v>16200</v>
      </c>
      <c r="L147" s="78"/>
    </row>
    <row r="148" spans="1:12" x14ac:dyDescent="0.25">
      <c r="A148" s="81">
        <v>46318</v>
      </c>
      <c r="B148" s="82" t="s">
        <v>376</v>
      </c>
      <c r="C148" s="82" t="s">
        <v>161</v>
      </c>
      <c r="D148" s="59" t="str">
        <f>IFERROR(INDEX(Products!$B$6:$B$60,MATCH(C148,Products!$A$6:$A$60,0)),"")</f>
        <v>Detergent Powder 400g</v>
      </c>
      <c r="E148" s="59" t="str">
        <f>IFERROR(INDEX(Products!$C$6:$C$60,MATCH(C148,Products!$A$6:$A$60,0)),"")</f>
        <v>Home Care</v>
      </c>
      <c r="F148" s="78" t="s">
        <v>215</v>
      </c>
      <c r="G148" s="83">
        <v>1</v>
      </c>
      <c r="H148" s="78" t="s">
        <v>242</v>
      </c>
      <c r="I148" s="82" t="s">
        <v>200</v>
      </c>
      <c r="J148" s="84">
        <f>IFERROR(IF(OR(F148="Sale",F148="Sales Return"),INDEX(Products!$G$6:$G$60,MATCH(C148,Products!$A$6:$A$60,0)),INDEX(Products!$F$6:$F$60,MATCH(C148,Products!$A$6:$A$60,0))),0)</f>
        <v>19000</v>
      </c>
      <c r="K148" s="84">
        <f t="shared" si="2"/>
        <v>19000</v>
      </c>
      <c r="L148" s="78"/>
    </row>
    <row r="149" spans="1:12" x14ac:dyDescent="0.25">
      <c r="A149" s="81">
        <v>46318</v>
      </c>
      <c r="B149" s="82" t="s">
        <v>377</v>
      </c>
      <c r="C149" s="82" t="s">
        <v>161</v>
      </c>
      <c r="D149" s="59" t="str">
        <f>IFERROR(INDEX(Products!$B$6:$B$60,MATCH(C149,Products!$A$6:$A$60,0)),"")</f>
        <v>Detergent Powder 400g</v>
      </c>
      <c r="E149" s="59" t="str">
        <f>IFERROR(INDEX(Products!$C$6:$C$60,MATCH(C149,Products!$A$6:$A$60,0)),"")</f>
        <v>Home Care</v>
      </c>
      <c r="F149" s="78" t="s">
        <v>215</v>
      </c>
      <c r="G149" s="83">
        <v>1</v>
      </c>
      <c r="H149" s="78" t="s">
        <v>226</v>
      </c>
      <c r="I149" s="82" t="s">
        <v>200</v>
      </c>
      <c r="J149" s="84">
        <f>IFERROR(IF(OR(F149="Sale",F149="Sales Return"),INDEX(Products!$G$6:$G$60,MATCH(C149,Products!$A$6:$A$60,0)),INDEX(Products!$F$6:$F$60,MATCH(C149,Products!$A$6:$A$60,0))),0)</f>
        <v>19000</v>
      </c>
      <c r="K149" s="84">
        <f t="shared" si="2"/>
        <v>19000</v>
      </c>
      <c r="L149" s="78"/>
    </row>
    <row r="150" spans="1:12" x14ac:dyDescent="0.25">
      <c r="A150" s="81">
        <v>46318</v>
      </c>
      <c r="B150" s="82" t="s">
        <v>378</v>
      </c>
      <c r="C150" s="82" t="s">
        <v>161</v>
      </c>
      <c r="D150" s="59" t="str">
        <f>IFERROR(INDEX(Products!$B$6:$B$60,MATCH(C150,Products!$A$6:$A$60,0)),"")</f>
        <v>Detergent Powder 400g</v>
      </c>
      <c r="E150" s="59" t="str">
        <f>IFERROR(INDEX(Products!$C$6:$C$60,MATCH(C150,Products!$A$6:$A$60,0)),"")</f>
        <v>Home Care</v>
      </c>
      <c r="F150" s="78" t="s">
        <v>215</v>
      </c>
      <c r="G150" s="83">
        <v>2</v>
      </c>
      <c r="H150" s="78" t="s">
        <v>216</v>
      </c>
      <c r="I150" s="82" t="s">
        <v>221</v>
      </c>
      <c r="J150" s="84">
        <f>IFERROR(IF(OR(F150="Sale",F150="Sales Return"),INDEX(Products!$G$6:$G$60,MATCH(C150,Products!$A$6:$A$60,0)),INDEX(Products!$F$6:$F$60,MATCH(C150,Products!$A$6:$A$60,0))),0)</f>
        <v>19000</v>
      </c>
      <c r="K150" s="84">
        <f t="shared" si="2"/>
        <v>38000</v>
      </c>
      <c r="L150" s="78"/>
    </row>
    <row r="151" spans="1:12" x14ac:dyDescent="0.25">
      <c r="A151" s="81">
        <v>46318</v>
      </c>
      <c r="B151" s="82" t="s">
        <v>379</v>
      </c>
      <c r="C151" s="82" t="s">
        <v>165</v>
      </c>
      <c r="D151" s="59" t="str">
        <f>IFERROR(INDEX(Products!$B$6:$B$60,MATCH(C151,Products!$A$6:$A$60,0)),"")</f>
        <v>Evaporated Milk 160g Tin</v>
      </c>
      <c r="E151" s="59" t="str">
        <f>IFERROR(INDEX(Products!$C$6:$C$60,MATCH(C151,Products!$A$6:$A$60,0)),"")</f>
        <v>Packaged Food</v>
      </c>
      <c r="F151" s="78" t="s">
        <v>215</v>
      </c>
      <c r="G151" s="83">
        <v>1</v>
      </c>
      <c r="H151" s="78" t="s">
        <v>242</v>
      </c>
      <c r="I151" s="82" t="s">
        <v>200</v>
      </c>
      <c r="J151" s="84">
        <f>IFERROR(IF(OR(F151="Sale",F151="Sales Return"),INDEX(Products!$G$6:$G$60,MATCH(C151,Products!$A$6:$A$60,0)),INDEX(Products!$F$6:$F$60,MATCH(C151,Products!$A$6:$A$60,0))),0)</f>
        <v>31000</v>
      </c>
      <c r="K151" s="84">
        <f t="shared" si="2"/>
        <v>31000</v>
      </c>
      <c r="L151" s="78"/>
    </row>
    <row r="152" spans="1:12" x14ac:dyDescent="0.25">
      <c r="A152" s="81">
        <v>46318</v>
      </c>
      <c r="B152" s="82" t="s">
        <v>380</v>
      </c>
      <c r="C152" s="82" t="s">
        <v>170</v>
      </c>
      <c r="D152" s="59" t="str">
        <f>IFERROR(INDEX(Products!$B$6:$B$60,MATCH(C152,Products!$A$6:$A$60,0)),"")</f>
        <v>Tomato Paste 70g Sachet</v>
      </c>
      <c r="E152" s="59" t="str">
        <f>IFERROR(INDEX(Products!$C$6:$C$60,MATCH(C152,Products!$A$6:$A$60,0)),"")</f>
        <v>Packaged Food</v>
      </c>
      <c r="F152" s="78" t="s">
        <v>215</v>
      </c>
      <c r="G152" s="83">
        <v>2</v>
      </c>
      <c r="H152" s="78" t="s">
        <v>232</v>
      </c>
      <c r="I152" s="82" t="s">
        <v>195</v>
      </c>
      <c r="J152" s="84">
        <f>IFERROR(IF(OR(F152="Sale",F152="Sales Return"),INDEX(Products!$G$6:$G$60,MATCH(C152,Products!$A$6:$A$60,0)),INDEX(Products!$F$6:$F$60,MATCH(C152,Products!$A$6:$A$60,0))),0)</f>
        <v>17200</v>
      </c>
      <c r="K152" s="84">
        <f t="shared" si="2"/>
        <v>34400</v>
      </c>
      <c r="L152" s="78"/>
    </row>
    <row r="153" spans="1:12" x14ac:dyDescent="0.25">
      <c r="A153" s="81">
        <v>46318</v>
      </c>
      <c r="B153" s="82" t="s">
        <v>381</v>
      </c>
      <c r="C153" s="82" t="s">
        <v>170</v>
      </c>
      <c r="D153" s="59" t="str">
        <f>IFERROR(INDEX(Products!$B$6:$B$60,MATCH(C153,Products!$A$6:$A$60,0)),"")</f>
        <v>Tomato Paste 70g Sachet</v>
      </c>
      <c r="E153" s="59" t="str">
        <f>IFERROR(INDEX(Products!$C$6:$C$60,MATCH(C153,Products!$A$6:$A$60,0)),"")</f>
        <v>Packaged Food</v>
      </c>
      <c r="F153" s="78" t="s">
        <v>215</v>
      </c>
      <c r="G153" s="83">
        <v>2</v>
      </c>
      <c r="H153" s="78" t="s">
        <v>226</v>
      </c>
      <c r="I153" s="82" t="s">
        <v>195</v>
      </c>
      <c r="J153" s="84">
        <f>IFERROR(IF(OR(F153="Sale",F153="Sales Return"),INDEX(Products!$G$6:$G$60,MATCH(C153,Products!$A$6:$A$60,0)),INDEX(Products!$F$6:$F$60,MATCH(C153,Products!$A$6:$A$60,0))),0)</f>
        <v>17200</v>
      </c>
      <c r="K153" s="84">
        <f t="shared" si="2"/>
        <v>34400</v>
      </c>
      <c r="L153" s="78"/>
    </row>
    <row r="154" spans="1:12" x14ac:dyDescent="0.25">
      <c r="A154" s="81">
        <v>46318</v>
      </c>
      <c r="B154" s="82" t="s">
        <v>382</v>
      </c>
      <c r="C154" s="82" t="s">
        <v>170</v>
      </c>
      <c r="D154" s="59" t="str">
        <f>IFERROR(INDEX(Products!$B$6:$B$60,MATCH(C154,Products!$A$6:$A$60,0)),"")</f>
        <v>Tomato Paste 70g Sachet</v>
      </c>
      <c r="E154" s="59" t="str">
        <f>IFERROR(INDEX(Products!$C$6:$C$60,MATCH(C154,Products!$A$6:$A$60,0)),"")</f>
        <v>Packaged Food</v>
      </c>
      <c r="F154" s="78" t="s">
        <v>215</v>
      </c>
      <c r="G154" s="83">
        <v>1</v>
      </c>
      <c r="H154" s="78" t="s">
        <v>234</v>
      </c>
      <c r="I154" s="82" t="s">
        <v>195</v>
      </c>
      <c r="J154" s="84">
        <f>IFERROR(IF(OR(F154="Sale",F154="Sales Return"),INDEX(Products!$G$6:$G$60,MATCH(C154,Products!$A$6:$A$60,0)),INDEX(Products!$F$6:$F$60,MATCH(C154,Products!$A$6:$A$60,0))),0)</f>
        <v>17200</v>
      </c>
      <c r="K154" s="84">
        <f t="shared" si="2"/>
        <v>17200</v>
      </c>
      <c r="L154" s="78"/>
    </row>
    <row r="155" spans="1:12" x14ac:dyDescent="0.25">
      <c r="A155" s="81">
        <v>46318</v>
      </c>
      <c r="B155" s="82" t="s">
        <v>383</v>
      </c>
      <c r="C155" s="82" t="s">
        <v>173</v>
      </c>
      <c r="D155" s="59" t="str">
        <f>IFERROR(INDEX(Products!$B$6:$B$60,MATCH(C155,Products!$A$6:$A$60,0)),"")</f>
        <v>Seasoning Cubes</v>
      </c>
      <c r="E155" s="59" t="str">
        <f>IFERROR(INDEX(Products!$C$6:$C$60,MATCH(C155,Products!$A$6:$A$60,0)),"")</f>
        <v>Packaged Food</v>
      </c>
      <c r="F155" s="78" t="s">
        <v>215</v>
      </c>
      <c r="G155" s="83">
        <v>1</v>
      </c>
      <c r="H155" s="78" t="s">
        <v>226</v>
      </c>
      <c r="I155" s="82" t="s">
        <v>200</v>
      </c>
      <c r="J155" s="84">
        <f>IFERROR(IF(OR(F155="Sale",F155="Sales Return"),INDEX(Products!$G$6:$G$60,MATCH(C155,Products!$A$6:$A$60,0)),INDEX(Products!$F$6:$F$60,MATCH(C155,Products!$A$6:$A$60,0))),0)</f>
        <v>15500</v>
      </c>
      <c r="K155" s="84">
        <f t="shared" si="2"/>
        <v>15500</v>
      </c>
      <c r="L155" s="78"/>
    </row>
    <row r="156" spans="1:12" x14ac:dyDescent="0.25">
      <c r="A156" s="81">
        <v>46318</v>
      </c>
      <c r="B156" s="82" t="s">
        <v>384</v>
      </c>
      <c r="C156" s="82" t="s">
        <v>173</v>
      </c>
      <c r="D156" s="59" t="str">
        <f>IFERROR(INDEX(Products!$B$6:$B$60,MATCH(C156,Products!$A$6:$A$60,0)),"")</f>
        <v>Seasoning Cubes</v>
      </c>
      <c r="E156" s="59" t="str">
        <f>IFERROR(INDEX(Products!$C$6:$C$60,MATCH(C156,Products!$A$6:$A$60,0)),"")</f>
        <v>Packaged Food</v>
      </c>
      <c r="F156" s="78" t="s">
        <v>215</v>
      </c>
      <c r="G156" s="83">
        <v>2</v>
      </c>
      <c r="H156" s="78" t="s">
        <v>220</v>
      </c>
      <c r="I156" s="82" t="s">
        <v>200</v>
      </c>
      <c r="J156" s="84">
        <f>IFERROR(IF(OR(F156="Sale",F156="Sales Return"),INDEX(Products!$G$6:$G$60,MATCH(C156,Products!$A$6:$A$60,0)),INDEX(Products!$F$6:$F$60,MATCH(C156,Products!$A$6:$A$60,0))),0)</f>
        <v>15500</v>
      </c>
      <c r="K156" s="84">
        <f t="shared" si="2"/>
        <v>31000</v>
      </c>
      <c r="L156" s="78"/>
    </row>
    <row r="157" spans="1:12" x14ac:dyDescent="0.25">
      <c r="A157" s="81">
        <v>46318</v>
      </c>
      <c r="B157" s="82" t="s">
        <v>385</v>
      </c>
      <c r="C157" s="82" t="s">
        <v>175</v>
      </c>
      <c r="D157" s="59" t="str">
        <f>IFERROR(INDEX(Products!$B$6:$B$60,MATCH(C157,Products!$A$6:$A$60,0)),"")</f>
        <v>Granulated Sugar 500g</v>
      </c>
      <c r="E157" s="59" t="str">
        <f>IFERROR(INDEX(Products!$C$6:$C$60,MATCH(C157,Products!$A$6:$A$60,0)),"")</f>
        <v>Packaged Food</v>
      </c>
      <c r="F157" s="78" t="s">
        <v>215</v>
      </c>
      <c r="G157" s="83">
        <v>1</v>
      </c>
      <c r="H157" s="78" t="s">
        <v>220</v>
      </c>
      <c r="I157" s="82" t="s">
        <v>200</v>
      </c>
      <c r="J157" s="84">
        <f>IFERROR(IF(OR(F157="Sale",F157="Sales Return"),INDEX(Products!$G$6:$G$60,MATCH(C157,Products!$A$6:$A$60,0)),INDEX(Products!$F$6:$F$60,MATCH(C157,Products!$A$6:$A$60,0))),0)</f>
        <v>18800</v>
      </c>
      <c r="K157" s="84">
        <f t="shared" si="2"/>
        <v>18800</v>
      </c>
      <c r="L157" s="78"/>
    </row>
    <row r="158" spans="1:12" x14ac:dyDescent="0.25">
      <c r="A158" s="81">
        <v>46318</v>
      </c>
      <c r="B158" s="82" t="s">
        <v>386</v>
      </c>
      <c r="C158" s="82" t="s">
        <v>175</v>
      </c>
      <c r="D158" s="59" t="str">
        <f>IFERROR(INDEX(Products!$B$6:$B$60,MATCH(C158,Products!$A$6:$A$60,0)),"")</f>
        <v>Granulated Sugar 500g</v>
      </c>
      <c r="E158" s="59" t="str">
        <f>IFERROR(INDEX(Products!$C$6:$C$60,MATCH(C158,Products!$A$6:$A$60,0)),"")</f>
        <v>Packaged Food</v>
      </c>
      <c r="F158" s="78" t="s">
        <v>215</v>
      </c>
      <c r="G158" s="83">
        <v>5</v>
      </c>
      <c r="H158" s="78" t="s">
        <v>220</v>
      </c>
      <c r="I158" s="82" t="s">
        <v>221</v>
      </c>
      <c r="J158" s="84">
        <f>IFERROR(IF(OR(F158="Sale",F158="Sales Return"),INDEX(Products!$G$6:$G$60,MATCH(C158,Products!$A$6:$A$60,0)),INDEX(Products!$F$6:$F$60,MATCH(C158,Products!$A$6:$A$60,0))),0)</f>
        <v>18800</v>
      </c>
      <c r="K158" s="84">
        <f t="shared" si="2"/>
        <v>94000</v>
      </c>
      <c r="L158" s="78"/>
    </row>
    <row r="159" spans="1:12" x14ac:dyDescent="0.25">
      <c r="A159" s="81">
        <v>46318</v>
      </c>
      <c r="B159" s="82" t="s">
        <v>387</v>
      </c>
      <c r="C159" s="82" t="s">
        <v>175</v>
      </c>
      <c r="D159" s="59" t="str">
        <f>IFERROR(INDEX(Products!$B$6:$B$60,MATCH(C159,Products!$A$6:$A$60,0)),"")</f>
        <v>Granulated Sugar 500g</v>
      </c>
      <c r="E159" s="59" t="str">
        <f>IFERROR(INDEX(Products!$C$6:$C$60,MATCH(C159,Products!$A$6:$A$60,0)),"")</f>
        <v>Packaged Food</v>
      </c>
      <c r="F159" s="78" t="s">
        <v>215</v>
      </c>
      <c r="G159" s="83">
        <v>1</v>
      </c>
      <c r="H159" s="78" t="s">
        <v>226</v>
      </c>
      <c r="I159" s="82" t="s">
        <v>195</v>
      </c>
      <c r="J159" s="84">
        <f>IFERROR(IF(OR(F159="Sale",F159="Sales Return"),INDEX(Products!$G$6:$G$60,MATCH(C159,Products!$A$6:$A$60,0)),INDEX(Products!$F$6:$F$60,MATCH(C159,Products!$A$6:$A$60,0))),0)</f>
        <v>18800</v>
      </c>
      <c r="K159" s="84">
        <f t="shared" si="2"/>
        <v>18800</v>
      </c>
      <c r="L159" s="78"/>
    </row>
    <row r="160" spans="1:12" x14ac:dyDescent="0.25">
      <c r="A160" s="81">
        <v>46318</v>
      </c>
      <c r="B160" s="82" t="s">
        <v>388</v>
      </c>
      <c r="C160" s="82" t="s">
        <v>177</v>
      </c>
      <c r="D160" s="59" t="str">
        <f>IFERROR(INDEX(Products!$B$6:$B$60,MATCH(C160,Products!$A$6:$A$60,0)),"")</f>
        <v>Table Salt 500g</v>
      </c>
      <c r="E160" s="59" t="str">
        <f>IFERROR(INDEX(Products!$C$6:$C$60,MATCH(C160,Products!$A$6:$A$60,0)),"")</f>
        <v>Packaged Food</v>
      </c>
      <c r="F160" s="78" t="s">
        <v>215</v>
      </c>
      <c r="G160" s="83">
        <v>2</v>
      </c>
      <c r="H160" s="78" t="s">
        <v>218</v>
      </c>
      <c r="I160" s="82" t="s">
        <v>200</v>
      </c>
      <c r="J160" s="84">
        <f>IFERROR(IF(OR(F160="Sale",F160="Sales Return"),INDEX(Products!$G$6:$G$60,MATCH(C160,Products!$A$6:$A$60,0)),INDEX(Products!$F$6:$F$60,MATCH(C160,Products!$A$6:$A$60,0))),0)</f>
        <v>7400</v>
      </c>
      <c r="K160" s="84">
        <f t="shared" si="2"/>
        <v>14800</v>
      </c>
      <c r="L160" s="78"/>
    </row>
    <row r="161" spans="1:12" x14ac:dyDescent="0.25">
      <c r="A161" s="81">
        <v>46318</v>
      </c>
      <c r="B161" s="82" t="s">
        <v>389</v>
      </c>
      <c r="C161" s="82" t="s">
        <v>140</v>
      </c>
      <c r="D161" s="59" t="str">
        <f>IFERROR(INDEX(Products!$B$6:$B$60,MATCH(C161,Products!$A$6:$A$60,0)),"")</f>
        <v>Instant Noodles Chicken 70g</v>
      </c>
      <c r="E161" s="59" t="str">
        <f>IFERROR(INDEX(Products!$C$6:$C$60,MATCH(C161,Products!$A$6:$A$60,0)),"")</f>
        <v>Noodles &amp; Pasta</v>
      </c>
      <c r="F161" s="78" t="s">
        <v>215</v>
      </c>
      <c r="G161" s="83">
        <v>8</v>
      </c>
      <c r="H161" s="78" t="s">
        <v>226</v>
      </c>
      <c r="I161" s="82" t="s">
        <v>200</v>
      </c>
      <c r="J161" s="84">
        <f>IFERROR(IF(OR(F161="Sale",F161="Sales Return"),INDEX(Products!$G$6:$G$60,MATCH(C161,Products!$A$6:$A$60,0)),INDEX(Products!$F$6:$F$60,MATCH(C161,Products!$A$6:$A$60,0))),0)</f>
        <v>8400</v>
      </c>
      <c r="K161" s="84">
        <f t="shared" si="2"/>
        <v>67200</v>
      </c>
      <c r="L161" s="78"/>
    </row>
    <row r="162" spans="1:12" x14ac:dyDescent="0.25">
      <c r="A162" s="81">
        <v>46318</v>
      </c>
      <c r="B162" s="82" t="s">
        <v>390</v>
      </c>
      <c r="C162" s="82" t="s">
        <v>140</v>
      </c>
      <c r="D162" s="59" t="str">
        <f>IFERROR(INDEX(Products!$B$6:$B$60,MATCH(C162,Products!$A$6:$A$60,0)),"")</f>
        <v>Instant Noodles Chicken 70g</v>
      </c>
      <c r="E162" s="59" t="str">
        <f>IFERROR(INDEX(Products!$C$6:$C$60,MATCH(C162,Products!$A$6:$A$60,0)),"")</f>
        <v>Noodles &amp; Pasta</v>
      </c>
      <c r="F162" s="78" t="s">
        <v>215</v>
      </c>
      <c r="G162" s="83">
        <v>2</v>
      </c>
      <c r="H162" s="78" t="s">
        <v>220</v>
      </c>
      <c r="I162" s="82" t="s">
        <v>195</v>
      </c>
      <c r="J162" s="84">
        <f>IFERROR(IF(OR(F162="Sale",F162="Sales Return"),INDEX(Products!$G$6:$G$60,MATCH(C162,Products!$A$6:$A$60,0)),INDEX(Products!$F$6:$F$60,MATCH(C162,Products!$A$6:$A$60,0))),0)</f>
        <v>8400</v>
      </c>
      <c r="K162" s="84">
        <f t="shared" si="2"/>
        <v>16800</v>
      </c>
      <c r="L162" s="78"/>
    </row>
    <row r="163" spans="1:12" x14ac:dyDescent="0.25">
      <c r="A163" s="81">
        <v>46318</v>
      </c>
      <c r="B163" s="82" t="s">
        <v>391</v>
      </c>
      <c r="C163" s="82" t="s">
        <v>140</v>
      </c>
      <c r="D163" s="59" t="str">
        <f>IFERROR(INDEX(Products!$B$6:$B$60,MATCH(C163,Products!$A$6:$A$60,0)),"")</f>
        <v>Instant Noodles Chicken 70g</v>
      </c>
      <c r="E163" s="59" t="str">
        <f>IFERROR(INDEX(Products!$C$6:$C$60,MATCH(C163,Products!$A$6:$A$60,0)),"")</f>
        <v>Noodles &amp; Pasta</v>
      </c>
      <c r="F163" s="78" t="s">
        <v>215</v>
      </c>
      <c r="G163" s="83">
        <v>3</v>
      </c>
      <c r="H163" s="78" t="s">
        <v>242</v>
      </c>
      <c r="I163" s="82" t="s">
        <v>200</v>
      </c>
      <c r="J163" s="84">
        <f>IFERROR(IF(OR(F163="Sale",F163="Sales Return"),INDEX(Products!$G$6:$G$60,MATCH(C163,Products!$A$6:$A$60,0)),INDEX(Products!$F$6:$F$60,MATCH(C163,Products!$A$6:$A$60,0))),0)</f>
        <v>8400</v>
      </c>
      <c r="K163" s="84">
        <f t="shared" si="2"/>
        <v>25200</v>
      </c>
      <c r="L163" s="78"/>
    </row>
    <row r="164" spans="1:12" x14ac:dyDescent="0.25">
      <c r="A164" s="81">
        <v>46318</v>
      </c>
      <c r="B164" s="82" t="s">
        <v>392</v>
      </c>
      <c r="C164" s="82" t="s">
        <v>145</v>
      </c>
      <c r="D164" s="59" t="str">
        <f>IFERROR(INDEX(Products!$B$6:$B$60,MATCH(C164,Products!$A$6:$A$60,0)),"")</f>
        <v>Instant Noodles Onion 70g</v>
      </c>
      <c r="E164" s="59" t="str">
        <f>IFERROR(INDEX(Products!$C$6:$C$60,MATCH(C164,Products!$A$6:$A$60,0)),"")</f>
        <v>Noodles &amp; Pasta</v>
      </c>
      <c r="F164" s="78" t="s">
        <v>215</v>
      </c>
      <c r="G164" s="83">
        <v>9</v>
      </c>
      <c r="H164" s="78" t="s">
        <v>234</v>
      </c>
      <c r="I164" s="82" t="s">
        <v>195</v>
      </c>
      <c r="J164" s="84">
        <f>IFERROR(IF(OR(F164="Sale",F164="Sales Return"),INDEX(Products!$G$6:$G$60,MATCH(C164,Products!$A$6:$A$60,0)),INDEX(Products!$F$6:$F$60,MATCH(C164,Products!$A$6:$A$60,0))),0)</f>
        <v>8500</v>
      </c>
      <c r="K164" s="84">
        <f t="shared" si="2"/>
        <v>76500</v>
      </c>
      <c r="L164" s="78"/>
    </row>
    <row r="165" spans="1:12" x14ac:dyDescent="0.25">
      <c r="A165" s="81">
        <v>46318</v>
      </c>
      <c r="B165" s="82" t="s">
        <v>393</v>
      </c>
      <c r="C165" s="82" t="s">
        <v>145</v>
      </c>
      <c r="D165" s="59" t="str">
        <f>IFERROR(INDEX(Products!$B$6:$B$60,MATCH(C165,Products!$A$6:$A$60,0)),"")</f>
        <v>Instant Noodles Onion 70g</v>
      </c>
      <c r="E165" s="59" t="str">
        <f>IFERROR(INDEX(Products!$C$6:$C$60,MATCH(C165,Products!$A$6:$A$60,0)),"")</f>
        <v>Noodles &amp; Pasta</v>
      </c>
      <c r="F165" s="78" t="s">
        <v>215</v>
      </c>
      <c r="G165" s="83">
        <v>1</v>
      </c>
      <c r="H165" s="78" t="s">
        <v>242</v>
      </c>
      <c r="I165" s="82" t="s">
        <v>221</v>
      </c>
      <c r="J165" s="84">
        <f>IFERROR(IF(OR(F165="Sale",F165="Sales Return"),INDEX(Products!$G$6:$G$60,MATCH(C165,Products!$A$6:$A$60,0)),INDEX(Products!$F$6:$F$60,MATCH(C165,Products!$A$6:$A$60,0))),0)</f>
        <v>8500</v>
      </c>
      <c r="K165" s="84">
        <f t="shared" si="2"/>
        <v>8500</v>
      </c>
      <c r="L165" s="78"/>
    </row>
    <row r="166" spans="1:12" x14ac:dyDescent="0.25">
      <c r="A166" s="81">
        <v>46318</v>
      </c>
      <c r="B166" s="82" t="s">
        <v>394</v>
      </c>
      <c r="C166" s="82" t="s">
        <v>145</v>
      </c>
      <c r="D166" s="59" t="str">
        <f>IFERROR(INDEX(Products!$B$6:$B$60,MATCH(C166,Products!$A$6:$A$60,0)),"")</f>
        <v>Instant Noodles Onion 70g</v>
      </c>
      <c r="E166" s="59" t="str">
        <f>IFERROR(INDEX(Products!$C$6:$C$60,MATCH(C166,Products!$A$6:$A$60,0)),"")</f>
        <v>Noodles &amp; Pasta</v>
      </c>
      <c r="F166" s="78" t="s">
        <v>215</v>
      </c>
      <c r="G166" s="83">
        <v>1</v>
      </c>
      <c r="H166" s="78" t="s">
        <v>232</v>
      </c>
      <c r="I166" s="82" t="s">
        <v>200</v>
      </c>
      <c r="J166" s="84">
        <f>IFERROR(IF(OR(F166="Sale",F166="Sales Return"),INDEX(Products!$G$6:$G$60,MATCH(C166,Products!$A$6:$A$60,0)),INDEX(Products!$F$6:$F$60,MATCH(C166,Products!$A$6:$A$60,0))),0)</f>
        <v>8500</v>
      </c>
      <c r="K166" s="84">
        <f t="shared" si="2"/>
        <v>8500</v>
      </c>
      <c r="L166" s="78"/>
    </row>
    <row r="167" spans="1:12" x14ac:dyDescent="0.25">
      <c r="A167" s="81">
        <v>46318</v>
      </c>
      <c r="B167" s="82" t="s">
        <v>395</v>
      </c>
      <c r="C167" s="82" t="s">
        <v>150</v>
      </c>
      <c r="D167" s="59" t="str">
        <f>IFERROR(INDEX(Products!$B$6:$B$60,MATCH(C167,Products!$A$6:$A$60,0)),"")</f>
        <v>Vegetable Oil 5L</v>
      </c>
      <c r="E167" s="59" t="str">
        <f>IFERROR(INDEX(Products!$C$6:$C$60,MATCH(C167,Products!$A$6:$A$60,0)),"")</f>
        <v>Cooking Oil</v>
      </c>
      <c r="F167" s="78" t="s">
        <v>215</v>
      </c>
      <c r="G167" s="83">
        <v>4</v>
      </c>
      <c r="H167" s="78" t="s">
        <v>232</v>
      </c>
      <c r="I167" s="82" t="s">
        <v>200</v>
      </c>
      <c r="J167" s="84">
        <f>IFERROR(IF(OR(F167="Sale",F167="Sales Return"),INDEX(Products!$G$6:$G$60,MATCH(C167,Products!$A$6:$A$60,0)),INDEX(Products!$F$6:$F$60,MATCH(C167,Products!$A$6:$A$60,0))),0)</f>
        <v>41500</v>
      </c>
      <c r="K167" s="84">
        <f t="shared" si="2"/>
        <v>166000</v>
      </c>
      <c r="L167" s="78"/>
    </row>
    <row r="168" spans="1:12" x14ac:dyDescent="0.25">
      <c r="A168" s="81">
        <v>46318</v>
      </c>
      <c r="B168" s="82" t="s">
        <v>396</v>
      </c>
      <c r="C168" s="82" t="s">
        <v>150</v>
      </c>
      <c r="D168" s="59" t="str">
        <f>IFERROR(INDEX(Products!$B$6:$B$60,MATCH(C168,Products!$A$6:$A$60,0)),"")</f>
        <v>Vegetable Oil 5L</v>
      </c>
      <c r="E168" s="59" t="str">
        <f>IFERROR(INDEX(Products!$C$6:$C$60,MATCH(C168,Products!$A$6:$A$60,0)),"")</f>
        <v>Cooking Oil</v>
      </c>
      <c r="F168" s="78" t="s">
        <v>215</v>
      </c>
      <c r="G168" s="83">
        <v>1</v>
      </c>
      <c r="H168" s="78" t="s">
        <v>226</v>
      </c>
      <c r="I168" s="82" t="s">
        <v>195</v>
      </c>
      <c r="J168" s="84">
        <f>IFERROR(IF(OR(F168="Sale",F168="Sales Return"),INDEX(Products!$G$6:$G$60,MATCH(C168,Products!$A$6:$A$60,0)),INDEX(Products!$F$6:$F$60,MATCH(C168,Products!$A$6:$A$60,0))),0)</f>
        <v>41500</v>
      </c>
      <c r="K168" s="84">
        <f t="shared" si="2"/>
        <v>41500</v>
      </c>
      <c r="L168" s="78"/>
    </row>
    <row r="169" spans="1:12" x14ac:dyDescent="0.25">
      <c r="A169" s="81">
        <v>46318</v>
      </c>
      <c r="B169" s="82" t="s">
        <v>397</v>
      </c>
      <c r="C169" s="82" t="s">
        <v>155</v>
      </c>
      <c r="D169" s="59" t="str">
        <f>IFERROR(INDEX(Products!$B$6:$B$60,MATCH(C169,Products!$A$6:$A$60,0)),"")</f>
        <v>Vegetable Oil 1L</v>
      </c>
      <c r="E169" s="59" t="str">
        <f>IFERROR(INDEX(Products!$C$6:$C$60,MATCH(C169,Products!$A$6:$A$60,0)),"")</f>
        <v>Cooking Oil</v>
      </c>
      <c r="F169" s="78" t="s">
        <v>215</v>
      </c>
      <c r="G169" s="83">
        <v>1</v>
      </c>
      <c r="H169" s="78" t="s">
        <v>234</v>
      </c>
      <c r="I169" s="82" t="s">
        <v>195</v>
      </c>
      <c r="J169" s="84">
        <f>IFERROR(IF(OR(F169="Sale",F169="Sales Return"),INDEX(Products!$G$6:$G$60,MATCH(C169,Products!$A$6:$A$60,0)),INDEX(Products!$F$6:$F$60,MATCH(C169,Products!$A$6:$A$60,0))),0)</f>
        <v>39000</v>
      </c>
      <c r="K169" s="84">
        <f t="shared" si="2"/>
        <v>39000</v>
      </c>
      <c r="L169" s="78"/>
    </row>
    <row r="170" spans="1:12" x14ac:dyDescent="0.25">
      <c r="A170" s="81">
        <v>46318</v>
      </c>
      <c r="B170" s="82" t="s">
        <v>398</v>
      </c>
      <c r="C170" s="82" t="s">
        <v>165</v>
      </c>
      <c r="D170" s="59" t="str">
        <f>IFERROR(INDEX(Products!$B$6:$B$60,MATCH(C170,Products!$A$6:$A$60,0)),"")</f>
        <v>Evaporated Milk 160g Tin</v>
      </c>
      <c r="E170" s="59" t="str">
        <f>IFERROR(INDEX(Products!$C$6:$C$60,MATCH(C170,Products!$A$6:$A$60,0)),"")</f>
        <v>Packaged Food</v>
      </c>
      <c r="F170" s="78" t="s">
        <v>292</v>
      </c>
      <c r="G170" s="83">
        <v>1</v>
      </c>
      <c r="H170" s="78" t="s">
        <v>168</v>
      </c>
      <c r="I170" s="82"/>
      <c r="J170" s="84">
        <f>IFERROR(IF(OR(F170="Sale",F170="Sales Return"),INDEX(Products!$G$6:$G$60,MATCH(C170,Products!$A$6:$A$60,0)),INDEX(Products!$F$6:$F$60,MATCH(C170,Products!$A$6:$A$60,0))),0)</f>
        <v>28000</v>
      </c>
      <c r="K170" s="84">
        <f t="shared" si="2"/>
        <v>28000</v>
      </c>
      <c r="L170" s="78" t="s">
        <v>399</v>
      </c>
    </row>
    <row r="171" spans="1:12" x14ac:dyDescent="0.25">
      <c r="A171" s="81">
        <v>46318</v>
      </c>
      <c r="B171" s="82" t="s">
        <v>400</v>
      </c>
      <c r="C171" s="82" t="s">
        <v>155</v>
      </c>
      <c r="D171" s="59" t="str">
        <f>IFERROR(INDEX(Products!$B$6:$B$60,MATCH(C171,Products!$A$6:$A$60,0)),"")</f>
        <v>Vegetable Oil 1L</v>
      </c>
      <c r="E171" s="59" t="str">
        <f>IFERROR(INDEX(Products!$C$6:$C$60,MATCH(C171,Products!$A$6:$A$60,0)),"")</f>
        <v>Cooking Oil</v>
      </c>
      <c r="F171" s="78" t="s">
        <v>258</v>
      </c>
      <c r="G171" s="83">
        <v>1</v>
      </c>
      <c r="H171" s="78" t="s">
        <v>259</v>
      </c>
      <c r="I171" s="82"/>
      <c r="J171" s="84">
        <f>IFERROR(IF(OR(F171="Sale",F171="Sales Return"),INDEX(Products!$G$6:$G$60,MATCH(C171,Products!$A$6:$A$60,0)),INDEX(Products!$F$6:$F$60,MATCH(C171,Products!$A$6:$A$60,0))),0)</f>
        <v>36000</v>
      </c>
      <c r="K171" s="84">
        <f t="shared" si="2"/>
        <v>36000</v>
      </c>
      <c r="L171" s="78" t="s">
        <v>401</v>
      </c>
    </row>
    <row r="172" spans="1:12" x14ac:dyDescent="0.25">
      <c r="A172" s="81">
        <v>46319</v>
      </c>
      <c r="B172" s="82" t="s">
        <v>402</v>
      </c>
      <c r="C172" s="82" t="s">
        <v>134</v>
      </c>
      <c r="D172" s="59" t="str">
        <f>IFERROR(INDEX(Products!$B$6:$B$60,MATCH(C172,Products!$A$6:$A$60,0)),"")</f>
        <v>Table Water 75cl</v>
      </c>
      <c r="E172" s="59" t="str">
        <f>IFERROR(INDEX(Products!$C$6:$C$60,MATCH(C172,Products!$A$6:$A$60,0)),"")</f>
        <v>Beverages</v>
      </c>
      <c r="F172" s="78" t="s">
        <v>262</v>
      </c>
      <c r="G172" s="83">
        <v>2</v>
      </c>
      <c r="H172" s="78" t="s">
        <v>216</v>
      </c>
      <c r="I172" s="82"/>
      <c r="J172" s="84">
        <f>IFERROR(IF(OR(F172="Sale",F172="Sales Return"),INDEX(Products!$G$6:$G$60,MATCH(C172,Products!$A$6:$A$60,0)),INDEX(Products!$F$6:$F$60,MATCH(C172,Products!$A$6:$A$60,0))),0)</f>
        <v>2300</v>
      </c>
      <c r="K172" s="84">
        <f t="shared" si="2"/>
        <v>4600</v>
      </c>
      <c r="L172" s="78" t="s">
        <v>403</v>
      </c>
    </row>
    <row r="173" spans="1:12" x14ac:dyDescent="0.25">
      <c r="A173" s="81">
        <v>46319</v>
      </c>
      <c r="B173" s="82" t="s">
        <v>404</v>
      </c>
      <c r="C173" s="82" t="s">
        <v>127</v>
      </c>
      <c r="D173" s="59" t="str">
        <f>IFERROR(INDEX(Products!$B$6:$B$60,MATCH(C173,Products!$A$6:$A$60,0)),"")</f>
        <v>Cola Soft Drink 50cl PET</v>
      </c>
      <c r="E173" s="59" t="str">
        <f>IFERROR(INDEX(Products!$C$6:$C$60,MATCH(C173,Products!$A$6:$A$60,0)),"")</f>
        <v>Beverages</v>
      </c>
      <c r="F173" s="78" t="s">
        <v>215</v>
      </c>
      <c r="G173" s="83">
        <v>8</v>
      </c>
      <c r="H173" s="78" t="s">
        <v>220</v>
      </c>
      <c r="I173" s="82" t="s">
        <v>221</v>
      </c>
      <c r="J173" s="84">
        <f>IFERROR(IF(OR(F173="Sale",F173="Sales Return"),INDEX(Products!$G$6:$G$60,MATCH(C173,Products!$A$6:$A$60,0)),INDEX(Products!$F$6:$F$60,MATCH(C173,Products!$A$6:$A$60,0))),0)</f>
        <v>5900</v>
      </c>
      <c r="K173" s="84">
        <f t="shared" si="2"/>
        <v>47200</v>
      </c>
      <c r="L173" s="78"/>
    </row>
    <row r="174" spans="1:12" x14ac:dyDescent="0.25">
      <c r="A174" s="81">
        <v>46319</v>
      </c>
      <c r="B174" s="82" t="s">
        <v>405</v>
      </c>
      <c r="C174" s="82" t="s">
        <v>127</v>
      </c>
      <c r="D174" s="59" t="str">
        <f>IFERROR(INDEX(Products!$B$6:$B$60,MATCH(C174,Products!$A$6:$A$60,0)),"")</f>
        <v>Cola Soft Drink 50cl PET</v>
      </c>
      <c r="E174" s="59" t="str">
        <f>IFERROR(INDEX(Products!$C$6:$C$60,MATCH(C174,Products!$A$6:$A$60,0)),"")</f>
        <v>Beverages</v>
      </c>
      <c r="F174" s="78" t="s">
        <v>215</v>
      </c>
      <c r="G174" s="83">
        <v>4</v>
      </c>
      <c r="H174" s="78" t="s">
        <v>242</v>
      </c>
      <c r="I174" s="82" t="s">
        <v>200</v>
      </c>
      <c r="J174" s="84">
        <f>IFERROR(IF(OR(F174="Sale",F174="Sales Return"),INDEX(Products!$G$6:$G$60,MATCH(C174,Products!$A$6:$A$60,0)),INDEX(Products!$F$6:$F$60,MATCH(C174,Products!$A$6:$A$60,0))),0)</f>
        <v>5900</v>
      </c>
      <c r="K174" s="84">
        <f t="shared" si="2"/>
        <v>23600</v>
      </c>
      <c r="L174" s="78"/>
    </row>
    <row r="175" spans="1:12" x14ac:dyDescent="0.25">
      <c r="A175" s="81">
        <v>46319</v>
      </c>
      <c r="B175" s="82" t="s">
        <v>406</v>
      </c>
      <c r="C175" s="82" t="s">
        <v>132</v>
      </c>
      <c r="D175" s="59" t="str">
        <f>IFERROR(INDEX(Products!$B$6:$B$60,MATCH(C175,Products!$A$6:$A$60,0)),"")</f>
        <v>Orange Soft Drink 50cl PET</v>
      </c>
      <c r="E175" s="59" t="str">
        <f>IFERROR(INDEX(Products!$C$6:$C$60,MATCH(C175,Products!$A$6:$A$60,0)),"")</f>
        <v>Beverages</v>
      </c>
      <c r="F175" s="78" t="s">
        <v>215</v>
      </c>
      <c r="G175" s="83">
        <v>8</v>
      </c>
      <c r="H175" s="78" t="s">
        <v>230</v>
      </c>
      <c r="I175" s="82" t="s">
        <v>221</v>
      </c>
      <c r="J175" s="84">
        <f>IFERROR(IF(OR(F175="Sale",F175="Sales Return"),INDEX(Products!$G$6:$G$60,MATCH(C175,Products!$A$6:$A$60,0)),INDEX(Products!$F$6:$F$60,MATCH(C175,Products!$A$6:$A$60,0))),0)</f>
        <v>5900</v>
      </c>
      <c r="K175" s="84">
        <f t="shared" si="2"/>
        <v>47200</v>
      </c>
      <c r="L175" s="78"/>
    </row>
    <row r="176" spans="1:12" x14ac:dyDescent="0.25">
      <c r="A176" s="81">
        <v>46319</v>
      </c>
      <c r="B176" s="82" t="s">
        <v>407</v>
      </c>
      <c r="C176" s="82" t="s">
        <v>132</v>
      </c>
      <c r="D176" s="59" t="str">
        <f>IFERROR(INDEX(Products!$B$6:$B$60,MATCH(C176,Products!$A$6:$A$60,0)),"")</f>
        <v>Orange Soft Drink 50cl PET</v>
      </c>
      <c r="E176" s="59" t="str">
        <f>IFERROR(INDEX(Products!$C$6:$C$60,MATCH(C176,Products!$A$6:$A$60,0)),"")</f>
        <v>Beverages</v>
      </c>
      <c r="F176" s="78" t="s">
        <v>215</v>
      </c>
      <c r="G176" s="83">
        <v>2</v>
      </c>
      <c r="H176" s="78" t="s">
        <v>220</v>
      </c>
      <c r="I176" s="82" t="s">
        <v>221</v>
      </c>
      <c r="J176" s="84">
        <f>IFERROR(IF(OR(F176="Sale",F176="Sales Return"),INDEX(Products!$G$6:$G$60,MATCH(C176,Products!$A$6:$A$60,0)),INDEX(Products!$F$6:$F$60,MATCH(C176,Products!$A$6:$A$60,0))),0)</f>
        <v>5900</v>
      </c>
      <c r="K176" s="84">
        <f t="shared" si="2"/>
        <v>11800</v>
      </c>
      <c r="L176" s="78"/>
    </row>
    <row r="177" spans="1:12" x14ac:dyDescent="0.25">
      <c r="A177" s="81">
        <v>46319</v>
      </c>
      <c r="B177" s="82" t="s">
        <v>408</v>
      </c>
      <c r="C177" s="82" t="s">
        <v>134</v>
      </c>
      <c r="D177" s="59" t="str">
        <f>IFERROR(INDEX(Products!$B$6:$B$60,MATCH(C177,Products!$A$6:$A$60,0)),"")</f>
        <v>Table Water 75cl</v>
      </c>
      <c r="E177" s="59" t="str">
        <f>IFERROR(INDEX(Products!$C$6:$C$60,MATCH(C177,Products!$A$6:$A$60,0)),"")</f>
        <v>Beverages</v>
      </c>
      <c r="F177" s="78" t="s">
        <v>215</v>
      </c>
      <c r="G177" s="83">
        <v>1</v>
      </c>
      <c r="H177" s="78" t="s">
        <v>242</v>
      </c>
      <c r="I177" s="82" t="s">
        <v>200</v>
      </c>
      <c r="J177" s="84">
        <f>IFERROR(IF(OR(F177="Sale",F177="Sales Return"),INDEX(Products!$G$6:$G$60,MATCH(C177,Products!$A$6:$A$60,0)),INDEX(Products!$F$6:$F$60,MATCH(C177,Products!$A$6:$A$60,0))),0)</f>
        <v>2300</v>
      </c>
      <c r="K177" s="84">
        <f t="shared" si="2"/>
        <v>2300</v>
      </c>
      <c r="L177" s="78"/>
    </row>
    <row r="178" spans="1:12" x14ac:dyDescent="0.25">
      <c r="A178" s="81">
        <v>46319</v>
      </c>
      <c r="B178" s="82" t="s">
        <v>409</v>
      </c>
      <c r="C178" s="82" t="s">
        <v>134</v>
      </c>
      <c r="D178" s="59" t="str">
        <f>IFERROR(INDEX(Products!$B$6:$B$60,MATCH(C178,Products!$A$6:$A$60,0)),"")</f>
        <v>Table Water 75cl</v>
      </c>
      <c r="E178" s="59" t="str">
        <f>IFERROR(INDEX(Products!$C$6:$C$60,MATCH(C178,Products!$A$6:$A$60,0)),"")</f>
        <v>Beverages</v>
      </c>
      <c r="F178" s="78" t="s">
        <v>215</v>
      </c>
      <c r="G178" s="83">
        <v>6</v>
      </c>
      <c r="H178" s="78" t="s">
        <v>242</v>
      </c>
      <c r="I178" s="82" t="s">
        <v>221</v>
      </c>
      <c r="J178" s="84">
        <f>IFERROR(IF(OR(F178="Sale",F178="Sales Return"),INDEX(Products!$G$6:$G$60,MATCH(C178,Products!$A$6:$A$60,0)),INDEX(Products!$F$6:$F$60,MATCH(C178,Products!$A$6:$A$60,0))),0)</f>
        <v>2300</v>
      </c>
      <c r="K178" s="84">
        <f t="shared" si="2"/>
        <v>13800</v>
      </c>
      <c r="L178" s="78"/>
    </row>
    <row r="179" spans="1:12" x14ac:dyDescent="0.25">
      <c r="A179" s="81">
        <v>46319</v>
      </c>
      <c r="B179" s="82" t="s">
        <v>410</v>
      </c>
      <c r="C179" s="82" t="s">
        <v>134</v>
      </c>
      <c r="D179" s="59" t="str">
        <f>IFERROR(INDEX(Products!$B$6:$B$60,MATCH(C179,Products!$A$6:$A$60,0)),"")</f>
        <v>Table Water 75cl</v>
      </c>
      <c r="E179" s="59" t="str">
        <f>IFERROR(INDEX(Products!$C$6:$C$60,MATCH(C179,Products!$A$6:$A$60,0)),"")</f>
        <v>Beverages</v>
      </c>
      <c r="F179" s="78" t="s">
        <v>215</v>
      </c>
      <c r="G179" s="83">
        <v>7</v>
      </c>
      <c r="H179" s="78" t="s">
        <v>220</v>
      </c>
      <c r="I179" s="82" t="s">
        <v>200</v>
      </c>
      <c r="J179" s="84">
        <f>IFERROR(IF(OR(F179="Sale",F179="Sales Return"),INDEX(Products!$G$6:$G$60,MATCH(C179,Products!$A$6:$A$60,0)),INDEX(Products!$F$6:$F$60,MATCH(C179,Products!$A$6:$A$60,0))),0)</f>
        <v>2300</v>
      </c>
      <c r="K179" s="84">
        <f t="shared" si="2"/>
        <v>16100</v>
      </c>
      <c r="L179" s="78"/>
    </row>
    <row r="180" spans="1:12" x14ac:dyDescent="0.25">
      <c r="A180" s="81">
        <v>46319</v>
      </c>
      <c r="B180" s="82" t="s">
        <v>411</v>
      </c>
      <c r="C180" s="82" t="s">
        <v>137</v>
      </c>
      <c r="D180" s="59" t="str">
        <f>IFERROR(INDEX(Products!$B$6:$B$60,MATCH(C180,Products!$A$6:$A$60,0)),"")</f>
        <v>Malt Drink 33cl Can</v>
      </c>
      <c r="E180" s="59" t="str">
        <f>IFERROR(INDEX(Products!$C$6:$C$60,MATCH(C180,Products!$A$6:$A$60,0)),"")</f>
        <v>Beverages</v>
      </c>
      <c r="F180" s="78" t="s">
        <v>215</v>
      </c>
      <c r="G180" s="83">
        <v>2</v>
      </c>
      <c r="H180" s="78" t="s">
        <v>216</v>
      </c>
      <c r="I180" s="82" t="s">
        <v>221</v>
      </c>
      <c r="J180" s="84">
        <f>IFERROR(IF(OR(F180="Sale",F180="Sales Return"),INDEX(Products!$G$6:$G$60,MATCH(C180,Products!$A$6:$A$60,0)),INDEX(Products!$F$6:$F$60,MATCH(C180,Products!$A$6:$A$60,0))),0)</f>
        <v>11200</v>
      </c>
      <c r="K180" s="84">
        <f t="shared" si="2"/>
        <v>22400</v>
      </c>
      <c r="L180" s="78"/>
    </row>
    <row r="181" spans="1:12" x14ac:dyDescent="0.25">
      <c r="A181" s="81">
        <v>46319</v>
      </c>
      <c r="B181" s="82" t="s">
        <v>412</v>
      </c>
      <c r="C181" s="82" t="s">
        <v>157</v>
      </c>
      <c r="D181" s="59" t="str">
        <f>IFERROR(INDEX(Products!$B$6:$B$60,MATCH(C181,Products!$A$6:$A$60,0)),"")</f>
        <v>Detergent Powder 900g</v>
      </c>
      <c r="E181" s="59" t="str">
        <f>IFERROR(INDEX(Products!$C$6:$C$60,MATCH(C181,Products!$A$6:$A$60,0)),"")</f>
        <v>Home Care</v>
      </c>
      <c r="F181" s="78" t="s">
        <v>215</v>
      </c>
      <c r="G181" s="83">
        <v>2</v>
      </c>
      <c r="H181" s="78" t="s">
        <v>216</v>
      </c>
      <c r="I181" s="82" t="s">
        <v>221</v>
      </c>
      <c r="J181" s="84">
        <f>IFERROR(IF(OR(F181="Sale",F181="Sales Return"),INDEX(Products!$G$6:$G$60,MATCH(C181,Products!$A$6:$A$60,0)),INDEX(Products!$F$6:$F$60,MATCH(C181,Products!$A$6:$A$60,0))),0)</f>
        <v>16200</v>
      </c>
      <c r="K181" s="84">
        <f t="shared" si="2"/>
        <v>32400</v>
      </c>
      <c r="L181" s="78"/>
    </row>
    <row r="182" spans="1:12" x14ac:dyDescent="0.25">
      <c r="A182" s="81">
        <v>46319</v>
      </c>
      <c r="B182" s="82" t="s">
        <v>413</v>
      </c>
      <c r="C182" s="82" t="s">
        <v>157</v>
      </c>
      <c r="D182" s="59" t="str">
        <f>IFERROR(INDEX(Products!$B$6:$B$60,MATCH(C182,Products!$A$6:$A$60,0)),"")</f>
        <v>Detergent Powder 900g</v>
      </c>
      <c r="E182" s="59" t="str">
        <f>IFERROR(INDEX(Products!$C$6:$C$60,MATCH(C182,Products!$A$6:$A$60,0)),"")</f>
        <v>Home Care</v>
      </c>
      <c r="F182" s="78" t="s">
        <v>215</v>
      </c>
      <c r="G182" s="83">
        <v>8</v>
      </c>
      <c r="H182" s="78" t="s">
        <v>218</v>
      </c>
      <c r="I182" s="82" t="s">
        <v>221</v>
      </c>
      <c r="J182" s="84">
        <f>IFERROR(IF(OR(F182="Sale",F182="Sales Return"),INDEX(Products!$G$6:$G$60,MATCH(C182,Products!$A$6:$A$60,0)),INDEX(Products!$F$6:$F$60,MATCH(C182,Products!$A$6:$A$60,0))),0)</f>
        <v>16200</v>
      </c>
      <c r="K182" s="84">
        <f t="shared" si="2"/>
        <v>129600</v>
      </c>
      <c r="L182" s="78"/>
    </row>
    <row r="183" spans="1:12" x14ac:dyDescent="0.25">
      <c r="A183" s="81">
        <v>46319</v>
      </c>
      <c r="B183" s="82" t="s">
        <v>414</v>
      </c>
      <c r="C183" s="82" t="s">
        <v>161</v>
      </c>
      <c r="D183" s="59" t="str">
        <f>IFERROR(INDEX(Products!$B$6:$B$60,MATCH(C183,Products!$A$6:$A$60,0)),"")</f>
        <v>Detergent Powder 400g</v>
      </c>
      <c r="E183" s="59" t="str">
        <f>IFERROR(INDEX(Products!$C$6:$C$60,MATCH(C183,Products!$A$6:$A$60,0)),"")</f>
        <v>Home Care</v>
      </c>
      <c r="F183" s="78" t="s">
        <v>215</v>
      </c>
      <c r="G183" s="83">
        <v>1</v>
      </c>
      <c r="H183" s="78" t="s">
        <v>234</v>
      </c>
      <c r="I183" s="82" t="s">
        <v>221</v>
      </c>
      <c r="J183" s="84">
        <f>IFERROR(IF(OR(F183="Sale",F183="Sales Return"),INDEX(Products!$G$6:$G$60,MATCH(C183,Products!$A$6:$A$60,0)),INDEX(Products!$F$6:$F$60,MATCH(C183,Products!$A$6:$A$60,0))),0)</f>
        <v>19000</v>
      </c>
      <c r="K183" s="84">
        <f t="shared" si="2"/>
        <v>19000</v>
      </c>
      <c r="L183" s="78"/>
    </row>
    <row r="184" spans="1:12" x14ac:dyDescent="0.25">
      <c r="A184" s="81">
        <v>46319</v>
      </c>
      <c r="B184" s="82" t="s">
        <v>415</v>
      </c>
      <c r="C184" s="82" t="s">
        <v>161</v>
      </c>
      <c r="D184" s="59" t="str">
        <f>IFERROR(INDEX(Products!$B$6:$B$60,MATCH(C184,Products!$A$6:$A$60,0)),"")</f>
        <v>Detergent Powder 400g</v>
      </c>
      <c r="E184" s="59" t="str">
        <f>IFERROR(INDEX(Products!$C$6:$C$60,MATCH(C184,Products!$A$6:$A$60,0)),"")</f>
        <v>Home Care</v>
      </c>
      <c r="F184" s="78" t="s">
        <v>215</v>
      </c>
      <c r="G184" s="83">
        <v>1</v>
      </c>
      <c r="H184" s="78" t="s">
        <v>220</v>
      </c>
      <c r="I184" s="82" t="s">
        <v>221</v>
      </c>
      <c r="J184" s="84">
        <f>IFERROR(IF(OR(F184="Sale",F184="Sales Return"),INDEX(Products!$G$6:$G$60,MATCH(C184,Products!$A$6:$A$60,0)),INDEX(Products!$F$6:$F$60,MATCH(C184,Products!$A$6:$A$60,0))),0)</f>
        <v>19000</v>
      </c>
      <c r="K184" s="84">
        <f t="shared" si="2"/>
        <v>19000</v>
      </c>
      <c r="L184" s="78"/>
    </row>
    <row r="185" spans="1:12" x14ac:dyDescent="0.25">
      <c r="A185" s="81">
        <v>46319</v>
      </c>
      <c r="B185" s="82" t="s">
        <v>416</v>
      </c>
      <c r="C185" s="82" t="s">
        <v>161</v>
      </c>
      <c r="D185" s="59" t="str">
        <f>IFERROR(INDEX(Products!$B$6:$B$60,MATCH(C185,Products!$A$6:$A$60,0)),"")</f>
        <v>Detergent Powder 400g</v>
      </c>
      <c r="E185" s="59" t="str">
        <f>IFERROR(INDEX(Products!$C$6:$C$60,MATCH(C185,Products!$A$6:$A$60,0)),"")</f>
        <v>Home Care</v>
      </c>
      <c r="F185" s="78" t="s">
        <v>215</v>
      </c>
      <c r="G185" s="83">
        <v>3</v>
      </c>
      <c r="H185" s="78" t="s">
        <v>230</v>
      </c>
      <c r="I185" s="82" t="s">
        <v>200</v>
      </c>
      <c r="J185" s="84">
        <f>IFERROR(IF(OR(F185="Sale",F185="Sales Return"),INDEX(Products!$G$6:$G$60,MATCH(C185,Products!$A$6:$A$60,0)),INDEX(Products!$F$6:$F$60,MATCH(C185,Products!$A$6:$A$60,0))),0)</f>
        <v>19000</v>
      </c>
      <c r="K185" s="84">
        <f t="shared" si="2"/>
        <v>57000</v>
      </c>
      <c r="L185" s="78"/>
    </row>
    <row r="186" spans="1:12" x14ac:dyDescent="0.25">
      <c r="A186" s="81">
        <v>46319</v>
      </c>
      <c r="B186" s="82" t="s">
        <v>417</v>
      </c>
      <c r="C186" s="82" t="s">
        <v>163</v>
      </c>
      <c r="D186" s="59" t="str">
        <f>IFERROR(INDEX(Products!$B$6:$B$60,MATCH(C186,Products!$A$6:$A$60,0)),"")</f>
        <v>Laundry Bar Soap</v>
      </c>
      <c r="E186" s="59" t="str">
        <f>IFERROR(INDEX(Products!$C$6:$C$60,MATCH(C186,Products!$A$6:$A$60,0)),"")</f>
        <v>Home Care</v>
      </c>
      <c r="F186" s="78" t="s">
        <v>215</v>
      </c>
      <c r="G186" s="83">
        <v>4</v>
      </c>
      <c r="H186" s="78" t="s">
        <v>242</v>
      </c>
      <c r="I186" s="82" t="s">
        <v>221</v>
      </c>
      <c r="J186" s="84">
        <f>IFERROR(IF(OR(F186="Sale",F186="Sales Return"),INDEX(Products!$G$6:$G$60,MATCH(C186,Products!$A$6:$A$60,0)),INDEX(Products!$F$6:$F$60,MATCH(C186,Products!$A$6:$A$60,0))),0)</f>
        <v>10200</v>
      </c>
      <c r="K186" s="84">
        <f t="shared" si="2"/>
        <v>40800</v>
      </c>
      <c r="L186" s="78"/>
    </row>
    <row r="187" spans="1:12" x14ac:dyDescent="0.25">
      <c r="A187" s="81">
        <v>46319</v>
      </c>
      <c r="B187" s="82" t="s">
        <v>418</v>
      </c>
      <c r="C187" s="82" t="s">
        <v>165</v>
      </c>
      <c r="D187" s="59" t="str">
        <f>IFERROR(INDEX(Products!$B$6:$B$60,MATCH(C187,Products!$A$6:$A$60,0)),"")</f>
        <v>Evaporated Milk 160g Tin</v>
      </c>
      <c r="E187" s="59" t="str">
        <f>IFERROR(INDEX(Products!$C$6:$C$60,MATCH(C187,Products!$A$6:$A$60,0)),"")</f>
        <v>Packaged Food</v>
      </c>
      <c r="F187" s="78" t="s">
        <v>215</v>
      </c>
      <c r="G187" s="83">
        <v>1</v>
      </c>
      <c r="H187" s="78" t="s">
        <v>218</v>
      </c>
      <c r="I187" s="82" t="s">
        <v>195</v>
      </c>
      <c r="J187" s="84">
        <f>IFERROR(IF(OR(F187="Sale",F187="Sales Return"),INDEX(Products!$G$6:$G$60,MATCH(C187,Products!$A$6:$A$60,0)),INDEX(Products!$F$6:$F$60,MATCH(C187,Products!$A$6:$A$60,0))),0)</f>
        <v>31000</v>
      </c>
      <c r="K187" s="84">
        <f t="shared" si="2"/>
        <v>31000</v>
      </c>
      <c r="L187" s="78"/>
    </row>
    <row r="188" spans="1:12" x14ac:dyDescent="0.25">
      <c r="A188" s="81">
        <v>46319</v>
      </c>
      <c r="B188" s="82" t="s">
        <v>419</v>
      </c>
      <c r="C188" s="82" t="s">
        <v>165</v>
      </c>
      <c r="D188" s="59" t="str">
        <f>IFERROR(INDEX(Products!$B$6:$B$60,MATCH(C188,Products!$A$6:$A$60,0)),"")</f>
        <v>Evaporated Milk 160g Tin</v>
      </c>
      <c r="E188" s="59" t="str">
        <f>IFERROR(INDEX(Products!$C$6:$C$60,MATCH(C188,Products!$A$6:$A$60,0)),"")</f>
        <v>Packaged Food</v>
      </c>
      <c r="F188" s="78" t="s">
        <v>215</v>
      </c>
      <c r="G188" s="83">
        <v>9</v>
      </c>
      <c r="H188" s="78" t="s">
        <v>220</v>
      </c>
      <c r="I188" s="82" t="s">
        <v>195</v>
      </c>
      <c r="J188" s="84">
        <f>IFERROR(IF(OR(F188="Sale",F188="Sales Return"),INDEX(Products!$G$6:$G$60,MATCH(C188,Products!$A$6:$A$60,0)),INDEX(Products!$F$6:$F$60,MATCH(C188,Products!$A$6:$A$60,0))),0)</f>
        <v>31000</v>
      </c>
      <c r="K188" s="84">
        <f t="shared" si="2"/>
        <v>279000</v>
      </c>
      <c r="L188" s="78"/>
    </row>
    <row r="189" spans="1:12" x14ac:dyDescent="0.25">
      <c r="A189" s="81">
        <v>46319</v>
      </c>
      <c r="B189" s="82" t="s">
        <v>420</v>
      </c>
      <c r="C189" s="82" t="s">
        <v>170</v>
      </c>
      <c r="D189" s="59" t="str">
        <f>IFERROR(INDEX(Products!$B$6:$B$60,MATCH(C189,Products!$A$6:$A$60,0)),"")</f>
        <v>Tomato Paste 70g Sachet</v>
      </c>
      <c r="E189" s="59" t="str">
        <f>IFERROR(INDEX(Products!$C$6:$C$60,MATCH(C189,Products!$A$6:$A$60,0)),"")</f>
        <v>Packaged Food</v>
      </c>
      <c r="F189" s="78" t="s">
        <v>215</v>
      </c>
      <c r="G189" s="83">
        <v>1</v>
      </c>
      <c r="H189" s="78" t="s">
        <v>218</v>
      </c>
      <c r="I189" s="82" t="s">
        <v>221</v>
      </c>
      <c r="J189" s="84">
        <f>IFERROR(IF(OR(F189="Sale",F189="Sales Return"),INDEX(Products!$G$6:$G$60,MATCH(C189,Products!$A$6:$A$60,0)),INDEX(Products!$F$6:$F$60,MATCH(C189,Products!$A$6:$A$60,0))),0)</f>
        <v>17200</v>
      </c>
      <c r="K189" s="84">
        <f t="shared" si="2"/>
        <v>17200</v>
      </c>
      <c r="L189" s="78"/>
    </row>
    <row r="190" spans="1:12" x14ac:dyDescent="0.25">
      <c r="A190" s="81">
        <v>46319</v>
      </c>
      <c r="B190" s="82" t="s">
        <v>421</v>
      </c>
      <c r="C190" s="82" t="s">
        <v>170</v>
      </c>
      <c r="D190" s="59" t="str">
        <f>IFERROR(INDEX(Products!$B$6:$B$60,MATCH(C190,Products!$A$6:$A$60,0)),"")</f>
        <v>Tomato Paste 70g Sachet</v>
      </c>
      <c r="E190" s="59" t="str">
        <f>IFERROR(INDEX(Products!$C$6:$C$60,MATCH(C190,Products!$A$6:$A$60,0)),"")</f>
        <v>Packaged Food</v>
      </c>
      <c r="F190" s="78" t="s">
        <v>215</v>
      </c>
      <c r="G190" s="83">
        <v>2</v>
      </c>
      <c r="H190" s="78" t="s">
        <v>234</v>
      </c>
      <c r="I190" s="82" t="s">
        <v>195</v>
      </c>
      <c r="J190" s="84">
        <f>IFERROR(IF(OR(F190="Sale",F190="Sales Return"),INDEX(Products!$G$6:$G$60,MATCH(C190,Products!$A$6:$A$60,0)),INDEX(Products!$F$6:$F$60,MATCH(C190,Products!$A$6:$A$60,0))),0)</f>
        <v>17200</v>
      </c>
      <c r="K190" s="84">
        <f t="shared" si="2"/>
        <v>34400</v>
      </c>
      <c r="L190" s="78"/>
    </row>
    <row r="191" spans="1:12" x14ac:dyDescent="0.25">
      <c r="A191" s="81">
        <v>46319</v>
      </c>
      <c r="B191" s="82" t="s">
        <v>422</v>
      </c>
      <c r="C191" s="82" t="s">
        <v>170</v>
      </c>
      <c r="D191" s="59" t="str">
        <f>IFERROR(INDEX(Products!$B$6:$B$60,MATCH(C191,Products!$A$6:$A$60,0)),"")</f>
        <v>Tomato Paste 70g Sachet</v>
      </c>
      <c r="E191" s="59" t="str">
        <f>IFERROR(INDEX(Products!$C$6:$C$60,MATCH(C191,Products!$A$6:$A$60,0)),"")</f>
        <v>Packaged Food</v>
      </c>
      <c r="F191" s="78" t="s">
        <v>215</v>
      </c>
      <c r="G191" s="83">
        <v>1</v>
      </c>
      <c r="H191" s="78" t="s">
        <v>218</v>
      </c>
      <c r="I191" s="82" t="s">
        <v>200</v>
      </c>
      <c r="J191" s="84">
        <f>IFERROR(IF(OR(F191="Sale",F191="Sales Return"),INDEX(Products!$G$6:$G$60,MATCH(C191,Products!$A$6:$A$60,0)),INDEX(Products!$F$6:$F$60,MATCH(C191,Products!$A$6:$A$60,0))),0)</f>
        <v>17200</v>
      </c>
      <c r="K191" s="84">
        <f t="shared" si="2"/>
        <v>17200</v>
      </c>
      <c r="L191" s="78"/>
    </row>
    <row r="192" spans="1:12" x14ac:dyDescent="0.25">
      <c r="A192" s="81">
        <v>46319</v>
      </c>
      <c r="B192" s="82" t="s">
        <v>423</v>
      </c>
      <c r="C192" s="82" t="s">
        <v>173</v>
      </c>
      <c r="D192" s="59" t="str">
        <f>IFERROR(INDEX(Products!$B$6:$B$60,MATCH(C192,Products!$A$6:$A$60,0)),"")</f>
        <v>Seasoning Cubes</v>
      </c>
      <c r="E192" s="59" t="str">
        <f>IFERROR(INDEX(Products!$C$6:$C$60,MATCH(C192,Products!$A$6:$A$60,0)),"")</f>
        <v>Packaged Food</v>
      </c>
      <c r="F192" s="78" t="s">
        <v>215</v>
      </c>
      <c r="G192" s="83">
        <v>1</v>
      </c>
      <c r="H192" s="78" t="s">
        <v>234</v>
      </c>
      <c r="I192" s="82" t="s">
        <v>195</v>
      </c>
      <c r="J192" s="84">
        <f>IFERROR(IF(OR(F192="Sale",F192="Sales Return"),INDEX(Products!$G$6:$G$60,MATCH(C192,Products!$A$6:$A$60,0)),INDEX(Products!$F$6:$F$60,MATCH(C192,Products!$A$6:$A$60,0))),0)</f>
        <v>15500</v>
      </c>
      <c r="K192" s="84">
        <f t="shared" si="2"/>
        <v>15500</v>
      </c>
      <c r="L192" s="78"/>
    </row>
    <row r="193" spans="1:12" x14ac:dyDescent="0.25">
      <c r="A193" s="81">
        <v>46319</v>
      </c>
      <c r="B193" s="82" t="s">
        <v>424</v>
      </c>
      <c r="C193" s="82" t="s">
        <v>175</v>
      </c>
      <c r="D193" s="59" t="str">
        <f>IFERROR(INDEX(Products!$B$6:$B$60,MATCH(C193,Products!$A$6:$A$60,0)),"")</f>
        <v>Granulated Sugar 500g</v>
      </c>
      <c r="E193" s="59" t="str">
        <f>IFERROR(INDEX(Products!$C$6:$C$60,MATCH(C193,Products!$A$6:$A$60,0)),"")</f>
        <v>Packaged Food</v>
      </c>
      <c r="F193" s="78" t="s">
        <v>215</v>
      </c>
      <c r="G193" s="83">
        <v>1</v>
      </c>
      <c r="H193" s="78" t="s">
        <v>230</v>
      </c>
      <c r="I193" s="82" t="s">
        <v>200</v>
      </c>
      <c r="J193" s="84">
        <f>IFERROR(IF(OR(F193="Sale",F193="Sales Return"),INDEX(Products!$G$6:$G$60,MATCH(C193,Products!$A$6:$A$60,0)),INDEX(Products!$F$6:$F$60,MATCH(C193,Products!$A$6:$A$60,0))),0)</f>
        <v>18800</v>
      </c>
      <c r="K193" s="84">
        <f t="shared" si="2"/>
        <v>18800</v>
      </c>
      <c r="L193" s="78"/>
    </row>
    <row r="194" spans="1:12" x14ac:dyDescent="0.25">
      <c r="A194" s="81">
        <v>46319</v>
      </c>
      <c r="B194" s="82" t="s">
        <v>425</v>
      </c>
      <c r="C194" s="82" t="s">
        <v>175</v>
      </c>
      <c r="D194" s="59" t="str">
        <f>IFERROR(INDEX(Products!$B$6:$B$60,MATCH(C194,Products!$A$6:$A$60,0)),"")</f>
        <v>Granulated Sugar 500g</v>
      </c>
      <c r="E194" s="59" t="str">
        <f>IFERROR(INDEX(Products!$C$6:$C$60,MATCH(C194,Products!$A$6:$A$60,0)),"")</f>
        <v>Packaged Food</v>
      </c>
      <c r="F194" s="78" t="s">
        <v>215</v>
      </c>
      <c r="G194" s="83">
        <v>1</v>
      </c>
      <c r="H194" s="78" t="s">
        <v>232</v>
      </c>
      <c r="I194" s="82" t="s">
        <v>200</v>
      </c>
      <c r="J194" s="84">
        <f>IFERROR(IF(OR(F194="Sale",F194="Sales Return"),INDEX(Products!$G$6:$G$60,MATCH(C194,Products!$A$6:$A$60,0)),INDEX(Products!$F$6:$F$60,MATCH(C194,Products!$A$6:$A$60,0))),0)</f>
        <v>18800</v>
      </c>
      <c r="K194" s="84">
        <f t="shared" si="2"/>
        <v>18800</v>
      </c>
      <c r="L194" s="78"/>
    </row>
    <row r="195" spans="1:12" x14ac:dyDescent="0.25">
      <c r="A195" s="81">
        <v>46319</v>
      </c>
      <c r="B195" s="82" t="s">
        <v>426</v>
      </c>
      <c r="C195" s="82" t="s">
        <v>175</v>
      </c>
      <c r="D195" s="59" t="str">
        <f>IFERROR(INDEX(Products!$B$6:$B$60,MATCH(C195,Products!$A$6:$A$60,0)),"")</f>
        <v>Granulated Sugar 500g</v>
      </c>
      <c r="E195" s="59" t="str">
        <f>IFERROR(INDEX(Products!$C$6:$C$60,MATCH(C195,Products!$A$6:$A$60,0)),"")</f>
        <v>Packaged Food</v>
      </c>
      <c r="F195" s="78" t="s">
        <v>215</v>
      </c>
      <c r="G195" s="83">
        <v>3</v>
      </c>
      <c r="H195" s="78" t="s">
        <v>220</v>
      </c>
      <c r="I195" s="82" t="s">
        <v>195</v>
      </c>
      <c r="J195" s="84">
        <f>IFERROR(IF(OR(F195="Sale",F195="Sales Return"),INDEX(Products!$G$6:$G$60,MATCH(C195,Products!$A$6:$A$60,0)),INDEX(Products!$F$6:$F$60,MATCH(C195,Products!$A$6:$A$60,0))),0)</f>
        <v>18800</v>
      </c>
      <c r="K195" s="84">
        <f t="shared" si="2"/>
        <v>56400</v>
      </c>
      <c r="L195" s="78"/>
    </row>
    <row r="196" spans="1:12" x14ac:dyDescent="0.25">
      <c r="A196" s="81">
        <v>46319</v>
      </c>
      <c r="B196" s="82" t="s">
        <v>427</v>
      </c>
      <c r="C196" s="82" t="s">
        <v>179</v>
      </c>
      <c r="D196" s="59" t="str">
        <f>IFERROR(INDEX(Products!$B$6:$B$60,MATCH(C196,Products!$A$6:$A$60,0)),"")</f>
        <v>Cocoa Beverage Powder 400g</v>
      </c>
      <c r="E196" s="59" t="str">
        <f>IFERROR(INDEX(Products!$C$6:$C$60,MATCH(C196,Products!$A$6:$A$60,0)),"")</f>
        <v>Packaged Food</v>
      </c>
      <c r="F196" s="78" t="s">
        <v>215</v>
      </c>
      <c r="G196" s="83">
        <v>2</v>
      </c>
      <c r="H196" s="78" t="s">
        <v>220</v>
      </c>
      <c r="I196" s="82" t="s">
        <v>221</v>
      </c>
      <c r="J196" s="84">
        <f>IFERROR(IF(OR(F196="Sale",F196="Sales Return"),INDEX(Products!$G$6:$G$60,MATCH(C196,Products!$A$6:$A$60,0)),INDEX(Products!$F$6:$F$60,MATCH(C196,Products!$A$6:$A$60,0))),0)</f>
        <v>23500</v>
      </c>
      <c r="K196" s="84">
        <f t="shared" si="2"/>
        <v>47000</v>
      </c>
      <c r="L196" s="78"/>
    </row>
    <row r="197" spans="1:12" x14ac:dyDescent="0.25">
      <c r="A197" s="81">
        <v>46319</v>
      </c>
      <c r="B197" s="82" t="s">
        <v>428</v>
      </c>
      <c r="C197" s="82" t="s">
        <v>140</v>
      </c>
      <c r="D197" s="59" t="str">
        <f>IFERROR(INDEX(Products!$B$6:$B$60,MATCH(C197,Products!$A$6:$A$60,0)),"")</f>
        <v>Instant Noodles Chicken 70g</v>
      </c>
      <c r="E197" s="59" t="str">
        <f>IFERROR(INDEX(Products!$C$6:$C$60,MATCH(C197,Products!$A$6:$A$60,0)),"")</f>
        <v>Noodles &amp; Pasta</v>
      </c>
      <c r="F197" s="78" t="s">
        <v>215</v>
      </c>
      <c r="G197" s="83">
        <v>6</v>
      </c>
      <c r="H197" s="78" t="s">
        <v>226</v>
      </c>
      <c r="I197" s="82" t="s">
        <v>200</v>
      </c>
      <c r="J197" s="84">
        <f>IFERROR(IF(OR(F197="Sale",F197="Sales Return"),INDEX(Products!$G$6:$G$60,MATCH(C197,Products!$A$6:$A$60,0)),INDEX(Products!$F$6:$F$60,MATCH(C197,Products!$A$6:$A$60,0))),0)</f>
        <v>8400</v>
      </c>
      <c r="K197" s="84">
        <f t="shared" si="2"/>
        <v>50400</v>
      </c>
      <c r="L197" s="78"/>
    </row>
    <row r="198" spans="1:12" x14ac:dyDescent="0.25">
      <c r="A198" s="81">
        <v>46319</v>
      </c>
      <c r="B198" s="82" t="s">
        <v>429</v>
      </c>
      <c r="C198" s="82" t="s">
        <v>140</v>
      </c>
      <c r="D198" s="59" t="str">
        <f>IFERROR(INDEX(Products!$B$6:$B$60,MATCH(C198,Products!$A$6:$A$60,0)),"")</f>
        <v>Instant Noodles Chicken 70g</v>
      </c>
      <c r="E198" s="59" t="str">
        <f>IFERROR(INDEX(Products!$C$6:$C$60,MATCH(C198,Products!$A$6:$A$60,0)),"")</f>
        <v>Noodles &amp; Pasta</v>
      </c>
      <c r="F198" s="78" t="s">
        <v>215</v>
      </c>
      <c r="G198" s="83">
        <v>2</v>
      </c>
      <c r="H198" s="78" t="s">
        <v>226</v>
      </c>
      <c r="I198" s="82" t="s">
        <v>200</v>
      </c>
      <c r="J198" s="84">
        <f>IFERROR(IF(OR(F198="Sale",F198="Sales Return"),INDEX(Products!$G$6:$G$60,MATCH(C198,Products!$A$6:$A$60,0)),INDEX(Products!$F$6:$F$60,MATCH(C198,Products!$A$6:$A$60,0))),0)</f>
        <v>8400</v>
      </c>
      <c r="K198" s="84">
        <f t="shared" ref="K198:K261" si="3">G198*J198</f>
        <v>16800</v>
      </c>
      <c r="L198" s="78"/>
    </row>
    <row r="199" spans="1:12" x14ac:dyDescent="0.25">
      <c r="A199" s="81">
        <v>46319</v>
      </c>
      <c r="B199" s="82" t="s">
        <v>430</v>
      </c>
      <c r="C199" s="82" t="s">
        <v>140</v>
      </c>
      <c r="D199" s="59" t="str">
        <f>IFERROR(INDEX(Products!$B$6:$B$60,MATCH(C199,Products!$A$6:$A$60,0)),"")</f>
        <v>Instant Noodles Chicken 70g</v>
      </c>
      <c r="E199" s="59" t="str">
        <f>IFERROR(INDEX(Products!$C$6:$C$60,MATCH(C199,Products!$A$6:$A$60,0)),"")</f>
        <v>Noodles &amp; Pasta</v>
      </c>
      <c r="F199" s="78" t="s">
        <v>215</v>
      </c>
      <c r="G199" s="83">
        <v>16</v>
      </c>
      <c r="H199" s="78" t="s">
        <v>218</v>
      </c>
      <c r="I199" s="82" t="s">
        <v>200</v>
      </c>
      <c r="J199" s="84">
        <f>IFERROR(IF(OR(F199="Sale",F199="Sales Return"),INDEX(Products!$G$6:$G$60,MATCH(C199,Products!$A$6:$A$60,0)),INDEX(Products!$F$6:$F$60,MATCH(C199,Products!$A$6:$A$60,0))),0)</f>
        <v>8400</v>
      </c>
      <c r="K199" s="84">
        <f t="shared" si="3"/>
        <v>134400</v>
      </c>
      <c r="L199" s="78"/>
    </row>
    <row r="200" spans="1:12" x14ac:dyDescent="0.25">
      <c r="A200" s="81">
        <v>46319</v>
      </c>
      <c r="B200" s="82" t="s">
        <v>431</v>
      </c>
      <c r="C200" s="82" t="s">
        <v>145</v>
      </c>
      <c r="D200" s="59" t="str">
        <f>IFERROR(INDEX(Products!$B$6:$B$60,MATCH(C200,Products!$A$6:$A$60,0)),"")</f>
        <v>Instant Noodles Onion 70g</v>
      </c>
      <c r="E200" s="59" t="str">
        <f>IFERROR(INDEX(Products!$C$6:$C$60,MATCH(C200,Products!$A$6:$A$60,0)),"")</f>
        <v>Noodles &amp; Pasta</v>
      </c>
      <c r="F200" s="78" t="s">
        <v>215</v>
      </c>
      <c r="G200" s="83">
        <v>4</v>
      </c>
      <c r="H200" s="78" t="s">
        <v>218</v>
      </c>
      <c r="I200" s="82" t="s">
        <v>221</v>
      </c>
      <c r="J200" s="84">
        <f>IFERROR(IF(OR(F200="Sale",F200="Sales Return"),INDEX(Products!$G$6:$G$60,MATCH(C200,Products!$A$6:$A$60,0)),INDEX(Products!$F$6:$F$60,MATCH(C200,Products!$A$6:$A$60,0))),0)</f>
        <v>8500</v>
      </c>
      <c r="K200" s="84">
        <f t="shared" si="3"/>
        <v>34000</v>
      </c>
      <c r="L200" s="78"/>
    </row>
    <row r="201" spans="1:12" x14ac:dyDescent="0.25">
      <c r="A201" s="81">
        <v>46319</v>
      </c>
      <c r="B201" s="82" t="s">
        <v>432</v>
      </c>
      <c r="C201" s="82" t="s">
        <v>145</v>
      </c>
      <c r="D201" s="59" t="str">
        <f>IFERROR(INDEX(Products!$B$6:$B$60,MATCH(C201,Products!$A$6:$A$60,0)),"")</f>
        <v>Instant Noodles Onion 70g</v>
      </c>
      <c r="E201" s="59" t="str">
        <f>IFERROR(INDEX(Products!$C$6:$C$60,MATCH(C201,Products!$A$6:$A$60,0)),"")</f>
        <v>Noodles &amp; Pasta</v>
      </c>
      <c r="F201" s="78" t="s">
        <v>215</v>
      </c>
      <c r="G201" s="83">
        <v>5</v>
      </c>
      <c r="H201" s="78" t="s">
        <v>226</v>
      </c>
      <c r="I201" s="82" t="s">
        <v>200</v>
      </c>
      <c r="J201" s="84">
        <f>IFERROR(IF(OR(F201="Sale",F201="Sales Return"),INDEX(Products!$G$6:$G$60,MATCH(C201,Products!$A$6:$A$60,0)),INDEX(Products!$F$6:$F$60,MATCH(C201,Products!$A$6:$A$60,0))),0)</f>
        <v>8500</v>
      </c>
      <c r="K201" s="84">
        <f t="shared" si="3"/>
        <v>42500</v>
      </c>
      <c r="L201" s="78"/>
    </row>
    <row r="202" spans="1:12" x14ac:dyDescent="0.25">
      <c r="A202" s="81">
        <v>46319</v>
      </c>
      <c r="B202" s="82" t="s">
        <v>433</v>
      </c>
      <c r="C202" s="82" t="s">
        <v>145</v>
      </c>
      <c r="D202" s="59" t="str">
        <f>IFERROR(INDEX(Products!$B$6:$B$60,MATCH(C202,Products!$A$6:$A$60,0)),"")</f>
        <v>Instant Noodles Onion 70g</v>
      </c>
      <c r="E202" s="59" t="str">
        <f>IFERROR(INDEX(Products!$C$6:$C$60,MATCH(C202,Products!$A$6:$A$60,0)),"")</f>
        <v>Noodles &amp; Pasta</v>
      </c>
      <c r="F202" s="78" t="s">
        <v>215</v>
      </c>
      <c r="G202" s="83">
        <v>4</v>
      </c>
      <c r="H202" s="78" t="s">
        <v>226</v>
      </c>
      <c r="I202" s="82" t="s">
        <v>195</v>
      </c>
      <c r="J202" s="84">
        <f>IFERROR(IF(OR(F202="Sale",F202="Sales Return"),INDEX(Products!$G$6:$G$60,MATCH(C202,Products!$A$6:$A$60,0)),INDEX(Products!$F$6:$F$60,MATCH(C202,Products!$A$6:$A$60,0))),0)</f>
        <v>8500</v>
      </c>
      <c r="K202" s="84">
        <f t="shared" si="3"/>
        <v>34000</v>
      </c>
      <c r="L202" s="78"/>
    </row>
    <row r="203" spans="1:12" x14ac:dyDescent="0.25">
      <c r="A203" s="81">
        <v>46319</v>
      </c>
      <c r="B203" s="82" t="s">
        <v>434</v>
      </c>
      <c r="C203" s="82" t="s">
        <v>147</v>
      </c>
      <c r="D203" s="59" t="str">
        <f>IFERROR(INDEX(Products!$B$6:$B$60,MATCH(C203,Products!$A$6:$A$60,0)),"")</f>
        <v>Spaghetti 500g</v>
      </c>
      <c r="E203" s="59" t="str">
        <f>IFERROR(INDEX(Products!$C$6:$C$60,MATCH(C203,Products!$A$6:$A$60,0)),"")</f>
        <v>Noodles &amp; Pasta</v>
      </c>
      <c r="F203" s="78" t="s">
        <v>215</v>
      </c>
      <c r="G203" s="83">
        <v>5</v>
      </c>
      <c r="H203" s="78" t="s">
        <v>234</v>
      </c>
      <c r="I203" s="82" t="s">
        <v>195</v>
      </c>
      <c r="J203" s="84">
        <f>IFERROR(IF(OR(F203="Sale",F203="Sales Return"),INDEX(Products!$G$6:$G$60,MATCH(C203,Products!$A$6:$A$60,0)),INDEX(Products!$F$6:$F$60,MATCH(C203,Products!$A$6:$A$60,0))),0)</f>
        <v>12800</v>
      </c>
      <c r="K203" s="84">
        <f t="shared" si="3"/>
        <v>64000</v>
      </c>
      <c r="L203" s="78"/>
    </row>
    <row r="204" spans="1:12" x14ac:dyDescent="0.25">
      <c r="A204" s="81">
        <v>46319</v>
      </c>
      <c r="B204" s="82" t="s">
        <v>435</v>
      </c>
      <c r="C204" s="82" t="s">
        <v>150</v>
      </c>
      <c r="D204" s="59" t="str">
        <f>IFERROR(INDEX(Products!$B$6:$B$60,MATCH(C204,Products!$A$6:$A$60,0)),"")</f>
        <v>Vegetable Oil 5L</v>
      </c>
      <c r="E204" s="59" t="str">
        <f>IFERROR(INDEX(Products!$C$6:$C$60,MATCH(C204,Products!$A$6:$A$60,0)),"")</f>
        <v>Cooking Oil</v>
      </c>
      <c r="F204" s="78" t="s">
        <v>215</v>
      </c>
      <c r="G204" s="83">
        <v>9</v>
      </c>
      <c r="H204" s="78" t="s">
        <v>218</v>
      </c>
      <c r="I204" s="82" t="s">
        <v>221</v>
      </c>
      <c r="J204" s="84">
        <f>IFERROR(IF(OR(F204="Sale",F204="Sales Return"),INDEX(Products!$G$6:$G$60,MATCH(C204,Products!$A$6:$A$60,0)),INDEX(Products!$F$6:$F$60,MATCH(C204,Products!$A$6:$A$60,0))),0)</f>
        <v>41500</v>
      </c>
      <c r="K204" s="84">
        <f t="shared" si="3"/>
        <v>373500</v>
      </c>
      <c r="L204" s="78"/>
    </row>
    <row r="205" spans="1:12" x14ac:dyDescent="0.25">
      <c r="A205" s="81">
        <v>46319</v>
      </c>
      <c r="B205" s="82" t="s">
        <v>436</v>
      </c>
      <c r="C205" s="82" t="s">
        <v>155</v>
      </c>
      <c r="D205" s="59" t="str">
        <f>IFERROR(INDEX(Products!$B$6:$B$60,MATCH(C205,Products!$A$6:$A$60,0)),"")</f>
        <v>Vegetable Oil 1L</v>
      </c>
      <c r="E205" s="59" t="str">
        <f>IFERROR(INDEX(Products!$C$6:$C$60,MATCH(C205,Products!$A$6:$A$60,0)),"")</f>
        <v>Cooking Oil</v>
      </c>
      <c r="F205" s="78" t="s">
        <v>215</v>
      </c>
      <c r="G205" s="83">
        <v>1</v>
      </c>
      <c r="H205" s="78" t="s">
        <v>226</v>
      </c>
      <c r="I205" s="82" t="s">
        <v>200</v>
      </c>
      <c r="J205" s="84">
        <f>IFERROR(IF(OR(F205="Sale",F205="Sales Return"),INDEX(Products!$G$6:$G$60,MATCH(C205,Products!$A$6:$A$60,0)),INDEX(Products!$F$6:$F$60,MATCH(C205,Products!$A$6:$A$60,0))),0)</f>
        <v>39000</v>
      </c>
      <c r="K205" s="84">
        <f t="shared" si="3"/>
        <v>39000</v>
      </c>
      <c r="L205" s="78"/>
    </row>
    <row r="206" spans="1:12" x14ac:dyDescent="0.25">
      <c r="A206" s="81">
        <v>46319</v>
      </c>
      <c r="B206" s="82" t="s">
        <v>437</v>
      </c>
      <c r="C206" s="82" t="s">
        <v>155</v>
      </c>
      <c r="D206" s="59" t="str">
        <f>IFERROR(INDEX(Products!$B$6:$B$60,MATCH(C206,Products!$A$6:$A$60,0)),"")</f>
        <v>Vegetable Oil 1L</v>
      </c>
      <c r="E206" s="59" t="str">
        <f>IFERROR(INDEX(Products!$C$6:$C$60,MATCH(C206,Products!$A$6:$A$60,0)),"")</f>
        <v>Cooking Oil</v>
      </c>
      <c r="F206" s="78" t="s">
        <v>215</v>
      </c>
      <c r="G206" s="83">
        <v>1</v>
      </c>
      <c r="H206" s="78" t="s">
        <v>216</v>
      </c>
      <c r="I206" s="82" t="s">
        <v>221</v>
      </c>
      <c r="J206" s="84">
        <f>IFERROR(IF(OR(F206="Sale",F206="Sales Return"),INDEX(Products!$G$6:$G$60,MATCH(C206,Products!$A$6:$A$60,0)),INDEX(Products!$F$6:$F$60,MATCH(C206,Products!$A$6:$A$60,0))),0)</f>
        <v>39000</v>
      </c>
      <c r="K206" s="84">
        <f t="shared" si="3"/>
        <v>39000</v>
      </c>
      <c r="L206" s="78"/>
    </row>
    <row r="207" spans="1:12" x14ac:dyDescent="0.25">
      <c r="A207" s="81">
        <v>46319</v>
      </c>
      <c r="B207" s="82" t="s">
        <v>438</v>
      </c>
      <c r="C207" s="82" t="s">
        <v>155</v>
      </c>
      <c r="D207" s="59" t="str">
        <f>IFERROR(INDEX(Products!$B$6:$B$60,MATCH(C207,Products!$A$6:$A$60,0)),"")</f>
        <v>Vegetable Oil 1L</v>
      </c>
      <c r="E207" s="59" t="str">
        <f>IFERROR(INDEX(Products!$C$6:$C$60,MATCH(C207,Products!$A$6:$A$60,0)),"")</f>
        <v>Cooking Oil</v>
      </c>
      <c r="F207" s="78" t="s">
        <v>215</v>
      </c>
      <c r="G207" s="83">
        <v>1</v>
      </c>
      <c r="H207" s="78" t="s">
        <v>218</v>
      </c>
      <c r="I207" s="82" t="s">
        <v>195</v>
      </c>
      <c r="J207" s="84">
        <f>IFERROR(IF(OR(F207="Sale",F207="Sales Return"),INDEX(Products!$G$6:$G$60,MATCH(C207,Products!$A$6:$A$60,0)),INDEX(Products!$F$6:$F$60,MATCH(C207,Products!$A$6:$A$60,0))),0)</f>
        <v>39000</v>
      </c>
      <c r="K207" s="84">
        <f t="shared" si="3"/>
        <v>39000</v>
      </c>
      <c r="L207" s="78"/>
    </row>
    <row r="208" spans="1:12" x14ac:dyDescent="0.25">
      <c r="A208" s="81">
        <v>46319</v>
      </c>
      <c r="B208" s="82" t="s">
        <v>439</v>
      </c>
      <c r="C208" s="82" t="s">
        <v>175</v>
      </c>
      <c r="D208" s="59" t="str">
        <f>IFERROR(INDEX(Products!$B$6:$B$60,MATCH(C208,Products!$A$6:$A$60,0)),"")</f>
        <v>Granulated Sugar 500g</v>
      </c>
      <c r="E208" s="59" t="str">
        <f>IFERROR(INDEX(Products!$C$6:$C$60,MATCH(C208,Products!$A$6:$A$60,0)),"")</f>
        <v>Packaged Food</v>
      </c>
      <c r="F208" s="78" t="s">
        <v>258</v>
      </c>
      <c r="G208" s="83">
        <v>1</v>
      </c>
      <c r="H208" s="78" t="s">
        <v>259</v>
      </c>
      <c r="I208" s="82"/>
      <c r="J208" s="84">
        <f>IFERROR(IF(OR(F208="Sale",F208="Sales Return"),INDEX(Products!$G$6:$G$60,MATCH(C208,Products!$A$6:$A$60,0)),INDEX(Products!$F$6:$F$60,MATCH(C208,Products!$A$6:$A$60,0))),0)</f>
        <v>17000</v>
      </c>
      <c r="K208" s="84">
        <f t="shared" si="3"/>
        <v>17000</v>
      </c>
      <c r="L208" s="78" t="s">
        <v>440</v>
      </c>
    </row>
  </sheetData>
  <autoFilter ref="A5:L208"/>
  <dataValidations count="2">
    <dataValidation type="list" allowBlank="1" sqref="F6:F1000">
      <formula1>"Purchase,Sale,Sales Return,Supplier Return,Damaged"</formula1>
      <formula2>0</formula2>
    </dataValidation>
    <dataValidation type="list" allowBlank="1" sqref="I6:I1000">
      <formula1>"Cash,Transfer,Credit"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Products!$A$6:$A$60</xm:f>
          </x14:formula1>
          <x14:formula2>
            <xm:f>0</xm:f>
          </x14:formula2>
          <xm:sqref>C6:C1000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13" customWidth="1"/>
    <col min="2" max="2" width="30" customWidth="1"/>
    <col min="3" max="3" width="29" customWidth="1"/>
    <col min="4" max="4" width="11" customWidth="1"/>
    <col min="5" max="5" width="14" customWidth="1"/>
    <col min="6" max="7" width="10" customWidth="1"/>
    <col min="8" max="8" width="11" customWidth="1"/>
    <col min="9" max="9" width="10" customWidth="1"/>
    <col min="10" max="10" width="14" customWidth="1"/>
    <col min="11" max="13" width="11" customWidth="1"/>
    <col min="14" max="14" width="14" customWidth="1"/>
    <col min="15" max="15" width="10" customWidth="1"/>
    <col min="16" max="16" width="13" customWidth="1"/>
  </cols>
  <sheetData>
    <row r="1" spans="1:16" ht="18.75" x14ac:dyDescent="0.25">
      <c r="A1" s="50" t="s">
        <v>441</v>
      </c>
    </row>
    <row r="2" spans="1:16" x14ac:dyDescent="0.25">
      <c r="A2" s="6" t="s">
        <v>442</v>
      </c>
    </row>
    <row r="3" spans="1:16" x14ac:dyDescent="0.25">
      <c r="A3" s="18" t="str">
        <f>"Week: "&amp;TEXT(Settings!B5,"dd mmm yyyy")&amp;" to "&amp;TEXT(Settings!B7,"dd mmm yyyy")</f>
        <v>Week: 19 Oct 2026 to 24 Oct 2026</v>
      </c>
    </row>
    <row r="5" spans="1:16" ht="43.5" customHeight="1" x14ac:dyDescent="0.25">
      <c r="A5" s="9" t="s">
        <v>119</v>
      </c>
      <c r="B5" s="9" t="s">
        <v>120</v>
      </c>
      <c r="C5" s="9" t="s">
        <v>122</v>
      </c>
      <c r="D5" s="9" t="s">
        <v>443</v>
      </c>
      <c r="E5" s="9" t="s">
        <v>444</v>
      </c>
      <c r="F5" s="9" t="s">
        <v>445</v>
      </c>
      <c r="G5" s="9" t="s">
        <v>85</v>
      </c>
      <c r="H5" s="9" t="s">
        <v>446</v>
      </c>
      <c r="I5" s="9" t="s">
        <v>447</v>
      </c>
      <c r="J5" s="9" t="s">
        <v>448</v>
      </c>
      <c r="K5" s="9" t="s">
        <v>449</v>
      </c>
      <c r="L5" s="9" t="s">
        <v>450</v>
      </c>
      <c r="M5" s="9" t="s">
        <v>124</v>
      </c>
      <c r="N5" s="9" t="s">
        <v>451</v>
      </c>
      <c r="O5" s="9" t="s">
        <v>452</v>
      </c>
      <c r="P5" s="9" t="s">
        <v>453</v>
      </c>
    </row>
    <row r="6" spans="1:16" x14ac:dyDescent="0.25">
      <c r="A6" s="7" t="str">
        <f>Products!A6</f>
        <v>BEV001</v>
      </c>
      <c r="B6" s="7" t="str">
        <f>Products!B6</f>
        <v>Cola Soft Drink 50cl PET</v>
      </c>
      <c r="C6" s="7" t="str">
        <f>Products!D6</f>
        <v>Apapa Beverages Depot</v>
      </c>
      <c r="D6" s="14">
        <v>31</v>
      </c>
      <c r="E6" s="17">
        <f>SUMIFS(Transactions!$G$6:$G$1000,Transactions!$C$6:$C$1000,$A6,Transactions!$F$6:$F$1000,"Purchase",Transactions!$A$6:$A$1000,"&gt;="&amp;Settings!$B$5,Transactions!$A$6:$A$1000,"&lt;="&amp;Settings!$B$7)</f>
        <v>54</v>
      </c>
      <c r="F6" s="17">
        <f>SUMIFS(Transactions!$G$6:$G$1000,Transactions!$C$6:$C$1000,$A6,Transactions!$F$6:$F$1000,"Sales Return",Transactions!$A$6:$A$1000,"&gt;="&amp;Settings!$B$5,Transactions!$A$6:$A$1000,"&lt;="&amp;Settings!$B$7)</f>
        <v>2</v>
      </c>
      <c r="G6" s="17">
        <f>SUMIFS(Transactions!$G$6:$G$1000,Transactions!$C$6:$C$1000,$A6,Transactions!$F$6:$F$1000,"Sale",Transactions!$A$6:$A$1000,"&gt;="&amp;Settings!$B$5,Transactions!$A$6:$A$1000,"&lt;="&amp;Settings!$B$7)</f>
        <v>60</v>
      </c>
      <c r="H6" s="17">
        <f>SUMIFS(Transactions!$G$6:$G$1000,Transactions!$C$6:$C$1000,$A6,Transactions!$F$6:$F$1000,"Supplier Return",Transactions!$A$6:$A$1000,"&gt;="&amp;Settings!$B$5,Transactions!$A$6:$A$1000,"&lt;="&amp;Settings!$B$7)</f>
        <v>0</v>
      </c>
      <c r="I6" s="17">
        <f>SUMIFS(Transactions!$G$6:$G$1000,Transactions!$C$6:$C$1000,$A6,Transactions!$F$6:$F$1000,"Damaged",Transactions!$A$6:$A$1000,"&gt;="&amp;Settings!$B$5,Transactions!$A$6:$A$1000,"&lt;="&amp;Settings!$B$7)</f>
        <v>0</v>
      </c>
      <c r="J6" s="19">
        <f t="shared" ref="J6:J23" si="0">D6+E6+F6-G6-H6-I6</f>
        <v>27</v>
      </c>
      <c r="K6" s="14">
        <v>25</v>
      </c>
      <c r="L6" s="20">
        <f t="shared" ref="L6:L23" si="1">IF(K6="","",K6-J6)</f>
        <v>-2</v>
      </c>
      <c r="M6" s="17">
        <f>Products!F6</f>
        <v>5200</v>
      </c>
      <c r="N6" s="21">
        <f t="shared" ref="N6:N23" si="2">IF(L6="","",L6*M6)</f>
        <v>-10400</v>
      </c>
      <c r="O6" s="22">
        <f t="shared" ref="O6:O23" si="3">IF(OR(K6="",J6&lt;=0),"",L6/J6)</f>
        <v>-7.407407407407407E-2</v>
      </c>
      <c r="P6" s="12" t="str">
        <f t="shared" ref="P6:P23" si="4">IF(K6="","Not counted",IF(L6=0,"Match",IF(L6&lt;0,"Shortage","Overage")))</f>
        <v>Shortage</v>
      </c>
    </row>
    <row r="7" spans="1:16" x14ac:dyDescent="0.25">
      <c r="A7" s="7" t="str">
        <f>Products!A7</f>
        <v>BEV002</v>
      </c>
      <c r="B7" s="7" t="str">
        <f>Products!B7</f>
        <v>Orange Soft Drink 50cl PET</v>
      </c>
      <c r="C7" s="7" t="str">
        <f>Products!D7</f>
        <v>Apapa Beverages Depot</v>
      </c>
      <c r="D7" s="14">
        <v>32</v>
      </c>
      <c r="E7" s="17">
        <f>SUMIFS(Transactions!$G$6:$G$1000,Transactions!$C$6:$C$1000,$A7,Transactions!$F$6:$F$1000,"Purchase",Transactions!$A$6:$A$1000,"&gt;="&amp;Settings!$B$5,Transactions!$A$6:$A$1000,"&lt;="&amp;Settings!$B$7)</f>
        <v>36</v>
      </c>
      <c r="F7" s="17">
        <f>SUMIFS(Transactions!$G$6:$G$1000,Transactions!$C$6:$C$1000,$A7,Transactions!$F$6:$F$1000,"Sales Return",Transactions!$A$6:$A$1000,"&gt;="&amp;Settings!$B$5,Transactions!$A$6:$A$1000,"&lt;="&amp;Settings!$B$7)</f>
        <v>0</v>
      </c>
      <c r="G7" s="17">
        <f>SUMIFS(Transactions!$G$6:$G$1000,Transactions!$C$6:$C$1000,$A7,Transactions!$F$6:$F$1000,"Sale",Transactions!$A$6:$A$1000,"&gt;="&amp;Settings!$B$5,Transactions!$A$6:$A$1000,"&lt;="&amp;Settings!$B$7)</f>
        <v>42</v>
      </c>
      <c r="H7" s="17">
        <f>SUMIFS(Transactions!$G$6:$G$1000,Transactions!$C$6:$C$1000,$A7,Transactions!$F$6:$F$1000,"Supplier Return",Transactions!$A$6:$A$1000,"&gt;="&amp;Settings!$B$5,Transactions!$A$6:$A$1000,"&lt;="&amp;Settings!$B$7)</f>
        <v>0</v>
      </c>
      <c r="I7" s="17">
        <f>SUMIFS(Transactions!$G$6:$G$1000,Transactions!$C$6:$C$1000,$A7,Transactions!$F$6:$F$1000,"Damaged",Transactions!$A$6:$A$1000,"&gt;="&amp;Settings!$B$5,Transactions!$A$6:$A$1000,"&lt;="&amp;Settings!$B$7)</f>
        <v>1</v>
      </c>
      <c r="J7" s="19">
        <f t="shared" si="0"/>
        <v>25</v>
      </c>
      <c r="K7" s="14">
        <v>25</v>
      </c>
      <c r="L7" s="20">
        <f t="shared" si="1"/>
        <v>0</v>
      </c>
      <c r="M7" s="17">
        <f>Products!F7</f>
        <v>5200</v>
      </c>
      <c r="N7" s="21">
        <f t="shared" si="2"/>
        <v>0</v>
      </c>
      <c r="O7" s="22">
        <f t="shared" si="3"/>
        <v>0</v>
      </c>
      <c r="P7" s="12" t="str">
        <f t="shared" si="4"/>
        <v>Match</v>
      </c>
    </row>
    <row r="8" spans="1:16" x14ac:dyDescent="0.25">
      <c r="A8" s="7" t="str">
        <f>Products!A8</f>
        <v>BEV003</v>
      </c>
      <c r="B8" s="7" t="str">
        <f>Products!B8</f>
        <v>Table Water 75cl</v>
      </c>
      <c r="C8" s="7" t="str">
        <f>Products!D8</f>
        <v>Apapa Beverages Depot</v>
      </c>
      <c r="D8" s="14">
        <v>64</v>
      </c>
      <c r="E8" s="17">
        <f>SUMIFS(Transactions!$G$6:$G$1000,Transactions!$C$6:$C$1000,$A8,Transactions!$F$6:$F$1000,"Purchase",Transactions!$A$6:$A$1000,"&gt;="&amp;Settings!$B$5,Transactions!$A$6:$A$1000,"&lt;="&amp;Settings!$B$7)</f>
        <v>66</v>
      </c>
      <c r="F8" s="17">
        <f>SUMIFS(Transactions!$G$6:$G$1000,Transactions!$C$6:$C$1000,$A8,Transactions!$F$6:$F$1000,"Sales Return",Transactions!$A$6:$A$1000,"&gt;="&amp;Settings!$B$5,Transactions!$A$6:$A$1000,"&lt;="&amp;Settings!$B$7)</f>
        <v>2</v>
      </c>
      <c r="G8" s="17">
        <f>SUMIFS(Transactions!$G$6:$G$1000,Transactions!$C$6:$C$1000,$A8,Transactions!$F$6:$F$1000,"Sale",Transactions!$A$6:$A$1000,"&gt;="&amp;Settings!$B$5,Transactions!$A$6:$A$1000,"&lt;="&amp;Settings!$B$7)</f>
        <v>72</v>
      </c>
      <c r="H8" s="17">
        <f>SUMIFS(Transactions!$G$6:$G$1000,Transactions!$C$6:$C$1000,$A8,Transactions!$F$6:$F$1000,"Supplier Return",Transactions!$A$6:$A$1000,"&gt;="&amp;Settings!$B$5,Transactions!$A$6:$A$1000,"&lt;="&amp;Settings!$B$7)</f>
        <v>0</v>
      </c>
      <c r="I8" s="17">
        <f>SUMIFS(Transactions!$G$6:$G$1000,Transactions!$C$6:$C$1000,$A8,Transactions!$F$6:$F$1000,"Damaged",Transactions!$A$6:$A$1000,"&gt;="&amp;Settings!$B$5,Transactions!$A$6:$A$1000,"&lt;="&amp;Settings!$B$7)</f>
        <v>1</v>
      </c>
      <c r="J8" s="19">
        <f t="shared" si="0"/>
        <v>59</v>
      </c>
      <c r="K8" s="14">
        <v>55</v>
      </c>
      <c r="L8" s="20">
        <f t="shared" si="1"/>
        <v>-4</v>
      </c>
      <c r="M8" s="17">
        <f>Products!F8</f>
        <v>1900</v>
      </c>
      <c r="N8" s="21">
        <f t="shared" si="2"/>
        <v>-7600</v>
      </c>
      <c r="O8" s="22">
        <f t="shared" si="3"/>
        <v>-6.7796610169491525E-2</v>
      </c>
      <c r="P8" s="12" t="str">
        <f t="shared" si="4"/>
        <v>Shortage</v>
      </c>
    </row>
    <row r="9" spans="1:16" x14ac:dyDescent="0.25">
      <c r="A9" s="7" t="str">
        <f>Products!A9</f>
        <v>BEV004</v>
      </c>
      <c r="B9" s="7" t="str">
        <f>Products!B9</f>
        <v>Malt Drink 33cl Can</v>
      </c>
      <c r="C9" s="7" t="str">
        <f>Products!D9</f>
        <v>Apapa Beverages Depot</v>
      </c>
      <c r="D9" s="14">
        <v>37</v>
      </c>
      <c r="E9" s="17">
        <f>SUMIFS(Transactions!$G$6:$G$1000,Transactions!$C$6:$C$1000,$A9,Transactions!$F$6:$F$1000,"Purchase",Transactions!$A$6:$A$1000,"&gt;="&amp;Settings!$B$5,Transactions!$A$6:$A$1000,"&lt;="&amp;Settings!$B$7)</f>
        <v>0</v>
      </c>
      <c r="F9" s="17">
        <f>SUMIFS(Transactions!$G$6:$G$1000,Transactions!$C$6:$C$1000,$A9,Transactions!$F$6:$F$1000,"Sales Return",Transactions!$A$6:$A$1000,"&gt;="&amp;Settings!$B$5,Transactions!$A$6:$A$1000,"&lt;="&amp;Settings!$B$7)</f>
        <v>0</v>
      </c>
      <c r="G9" s="17">
        <f>SUMIFS(Transactions!$G$6:$G$1000,Transactions!$C$6:$C$1000,$A9,Transactions!$F$6:$F$1000,"Sale",Transactions!$A$6:$A$1000,"&gt;="&amp;Settings!$B$5,Transactions!$A$6:$A$1000,"&lt;="&amp;Settings!$B$7)</f>
        <v>9</v>
      </c>
      <c r="H9" s="17">
        <f>SUMIFS(Transactions!$G$6:$G$1000,Transactions!$C$6:$C$1000,$A9,Transactions!$F$6:$F$1000,"Supplier Return",Transactions!$A$6:$A$1000,"&gt;="&amp;Settings!$B$5,Transactions!$A$6:$A$1000,"&lt;="&amp;Settings!$B$7)</f>
        <v>1</v>
      </c>
      <c r="I9" s="17">
        <f>SUMIFS(Transactions!$G$6:$G$1000,Transactions!$C$6:$C$1000,$A9,Transactions!$F$6:$F$1000,"Damaged",Transactions!$A$6:$A$1000,"&gt;="&amp;Settings!$B$5,Transactions!$A$6:$A$1000,"&lt;="&amp;Settings!$B$7)</f>
        <v>0</v>
      </c>
      <c r="J9" s="19">
        <f t="shared" si="0"/>
        <v>27</v>
      </c>
      <c r="K9" s="14">
        <v>27</v>
      </c>
      <c r="L9" s="20">
        <f t="shared" si="1"/>
        <v>0</v>
      </c>
      <c r="M9" s="17">
        <f>Products!F9</f>
        <v>9800</v>
      </c>
      <c r="N9" s="21">
        <f t="shared" si="2"/>
        <v>0</v>
      </c>
      <c r="O9" s="22">
        <f t="shared" si="3"/>
        <v>0</v>
      </c>
      <c r="P9" s="12" t="str">
        <f t="shared" si="4"/>
        <v>Match</v>
      </c>
    </row>
    <row r="10" spans="1:16" x14ac:dyDescent="0.25">
      <c r="A10" s="7" t="str">
        <f>Products!A10</f>
        <v>NDL001</v>
      </c>
      <c r="B10" s="7" t="str">
        <f>Products!B10</f>
        <v>Instant Noodles Chicken 70g</v>
      </c>
      <c r="C10" s="7" t="str">
        <f>Products!D10</f>
        <v>Mushin Noodles &amp; Foods Ltd</v>
      </c>
      <c r="D10" s="14">
        <v>118</v>
      </c>
      <c r="E10" s="17">
        <f>SUMIFS(Transactions!$G$6:$G$1000,Transactions!$C$6:$C$1000,$A10,Transactions!$F$6:$F$1000,"Purchase",Transactions!$A$6:$A$1000,"&gt;="&amp;Settings!$B$5,Transactions!$A$6:$A$1000,"&lt;="&amp;Settings!$B$7)</f>
        <v>80</v>
      </c>
      <c r="F10" s="17">
        <f>SUMIFS(Transactions!$G$6:$G$1000,Transactions!$C$6:$C$1000,$A10,Transactions!$F$6:$F$1000,"Sales Return",Transactions!$A$6:$A$1000,"&gt;="&amp;Settings!$B$5,Transactions!$A$6:$A$1000,"&lt;="&amp;Settings!$B$7)</f>
        <v>2</v>
      </c>
      <c r="G10" s="17">
        <f>SUMIFS(Transactions!$G$6:$G$1000,Transactions!$C$6:$C$1000,$A10,Transactions!$F$6:$F$1000,"Sale",Transactions!$A$6:$A$1000,"&gt;="&amp;Settings!$B$5,Transactions!$A$6:$A$1000,"&lt;="&amp;Settings!$B$7)</f>
        <v>90</v>
      </c>
      <c r="H10" s="17">
        <f>SUMIFS(Transactions!$G$6:$G$1000,Transactions!$C$6:$C$1000,$A10,Transactions!$F$6:$F$1000,"Supplier Return",Transactions!$A$6:$A$1000,"&gt;="&amp;Settings!$B$5,Transactions!$A$6:$A$1000,"&lt;="&amp;Settings!$B$7)</f>
        <v>0</v>
      </c>
      <c r="I10" s="17">
        <f>SUMIFS(Transactions!$G$6:$G$1000,Transactions!$C$6:$C$1000,$A10,Transactions!$F$6:$F$1000,"Damaged",Transactions!$A$6:$A$1000,"&gt;="&amp;Settings!$B$5,Transactions!$A$6:$A$1000,"&lt;="&amp;Settings!$B$7)</f>
        <v>2</v>
      </c>
      <c r="J10" s="19">
        <f t="shared" si="0"/>
        <v>108</v>
      </c>
      <c r="K10" s="14">
        <v>105</v>
      </c>
      <c r="L10" s="20">
        <f t="shared" si="1"/>
        <v>-3</v>
      </c>
      <c r="M10" s="17">
        <f>Products!F10</f>
        <v>7600</v>
      </c>
      <c r="N10" s="21">
        <f t="shared" si="2"/>
        <v>-22800</v>
      </c>
      <c r="O10" s="22">
        <f t="shared" si="3"/>
        <v>-2.7777777777777776E-2</v>
      </c>
      <c r="P10" s="12" t="str">
        <f t="shared" si="4"/>
        <v>Shortage</v>
      </c>
    </row>
    <row r="11" spans="1:16" x14ac:dyDescent="0.25">
      <c r="A11" s="7" t="str">
        <f>Products!A11</f>
        <v>NDL002</v>
      </c>
      <c r="B11" s="7" t="str">
        <f>Products!B11</f>
        <v>Instant Noodles Onion 70g</v>
      </c>
      <c r="C11" s="7" t="str">
        <f>Products!D11</f>
        <v>Mushin Noodles &amp; Foods Ltd</v>
      </c>
      <c r="D11" s="14">
        <v>27</v>
      </c>
      <c r="E11" s="17">
        <f>SUMIFS(Transactions!$G$6:$G$1000,Transactions!$C$6:$C$1000,$A11,Transactions!$F$6:$F$1000,"Purchase",Transactions!$A$6:$A$1000,"&gt;="&amp;Settings!$B$5,Transactions!$A$6:$A$1000,"&lt;="&amp;Settings!$B$7)</f>
        <v>29</v>
      </c>
      <c r="F11" s="17">
        <f>SUMIFS(Transactions!$G$6:$G$1000,Transactions!$C$6:$C$1000,$A11,Transactions!$F$6:$F$1000,"Sales Return",Transactions!$A$6:$A$1000,"&gt;="&amp;Settings!$B$5,Transactions!$A$6:$A$1000,"&lt;="&amp;Settings!$B$7)</f>
        <v>0</v>
      </c>
      <c r="G11" s="17">
        <f>SUMIFS(Transactions!$G$6:$G$1000,Transactions!$C$6:$C$1000,$A11,Transactions!$F$6:$F$1000,"Sale",Transactions!$A$6:$A$1000,"&gt;="&amp;Settings!$B$5,Transactions!$A$6:$A$1000,"&lt;="&amp;Settings!$B$7)</f>
        <v>54</v>
      </c>
      <c r="H11" s="17">
        <f>SUMIFS(Transactions!$G$6:$G$1000,Transactions!$C$6:$C$1000,$A11,Transactions!$F$6:$F$1000,"Supplier Return",Transactions!$A$6:$A$1000,"&gt;="&amp;Settings!$B$5,Transactions!$A$6:$A$1000,"&lt;="&amp;Settings!$B$7)</f>
        <v>2</v>
      </c>
      <c r="I11" s="17">
        <f>SUMIFS(Transactions!$G$6:$G$1000,Transactions!$C$6:$C$1000,$A11,Transactions!$F$6:$F$1000,"Damaged",Transactions!$A$6:$A$1000,"&gt;="&amp;Settings!$B$5,Transactions!$A$6:$A$1000,"&lt;="&amp;Settings!$B$7)</f>
        <v>0</v>
      </c>
      <c r="J11" s="19">
        <f t="shared" si="0"/>
        <v>0</v>
      </c>
      <c r="K11" s="14">
        <v>0</v>
      </c>
      <c r="L11" s="20">
        <f t="shared" si="1"/>
        <v>0</v>
      </c>
      <c r="M11" s="17">
        <f>Products!F11</f>
        <v>7700</v>
      </c>
      <c r="N11" s="21">
        <f t="shared" si="2"/>
        <v>0</v>
      </c>
      <c r="O11" s="22" t="str">
        <f t="shared" si="3"/>
        <v/>
      </c>
      <c r="P11" s="12" t="str">
        <f t="shared" si="4"/>
        <v>Match</v>
      </c>
    </row>
    <row r="12" spans="1:16" x14ac:dyDescent="0.25">
      <c r="A12" s="7" t="str">
        <f>Products!A12</f>
        <v>NDL003</v>
      </c>
      <c r="B12" s="7" t="str">
        <f>Products!B12</f>
        <v>Spaghetti 500g</v>
      </c>
      <c r="C12" s="7" t="str">
        <f>Products!D12</f>
        <v>Mushin Noodles &amp; Foods Ltd</v>
      </c>
      <c r="D12" s="14">
        <v>35</v>
      </c>
      <c r="E12" s="17">
        <f>SUMIFS(Transactions!$G$6:$G$1000,Transactions!$C$6:$C$1000,$A12,Transactions!$F$6:$F$1000,"Purchase",Transactions!$A$6:$A$1000,"&gt;="&amp;Settings!$B$5,Transactions!$A$6:$A$1000,"&lt;="&amp;Settings!$B$7)</f>
        <v>0</v>
      </c>
      <c r="F12" s="17">
        <f>SUMIFS(Transactions!$G$6:$G$1000,Transactions!$C$6:$C$1000,$A12,Transactions!$F$6:$F$1000,"Sales Return",Transactions!$A$6:$A$1000,"&gt;="&amp;Settings!$B$5,Transactions!$A$6:$A$1000,"&lt;="&amp;Settings!$B$7)</f>
        <v>0</v>
      </c>
      <c r="G12" s="17">
        <f>SUMIFS(Transactions!$G$6:$G$1000,Transactions!$C$6:$C$1000,$A12,Transactions!$F$6:$F$1000,"Sale",Transactions!$A$6:$A$1000,"&gt;="&amp;Settings!$B$5,Transactions!$A$6:$A$1000,"&lt;="&amp;Settings!$B$7)</f>
        <v>12</v>
      </c>
      <c r="H12" s="17">
        <f>SUMIFS(Transactions!$G$6:$G$1000,Transactions!$C$6:$C$1000,$A12,Transactions!$F$6:$F$1000,"Supplier Return",Transactions!$A$6:$A$1000,"&gt;="&amp;Settings!$B$5,Transactions!$A$6:$A$1000,"&lt;="&amp;Settings!$B$7)</f>
        <v>0</v>
      </c>
      <c r="I12" s="17">
        <f>SUMIFS(Transactions!$G$6:$G$1000,Transactions!$C$6:$C$1000,$A12,Transactions!$F$6:$F$1000,"Damaged",Transactions!$A$6:$A$1000,"&gt;="&amp;Settings!$B$5,Transactions!$A$6:$A$1000,"&lt;="&amp;Settings!$B$7)</f>
        <v>0</v>
      </c>
      <c r="J12" s="19">
        <f t="shared" si="0"/>
        <v>23</v>
      </c>
      <c r="K12" s="14">
        <v>24</v>
      </c>
      <c r="L12" s="20">
        <f t="shared" si="1"/>
        <v>1</v>
      </c>
      <c r="M12" s="17">
        <f>Products!F12</f>
        <v>11500</v>
      </c>
      <c r="N12" s="21">
        <f t="shared" si="2"/>
        <v>11500</v>
      </c>
      <c r="O12" s="22">
        <f t="shared" si="3"/>
        <v>4.3478260869565216E-2</v>
      </c>
      <c r="P12" s="12" t="str">
        <f t="shared" si="4"/>
        <v>Overage</v>
      </c>
    </row>
    <row r="13" spans="1:16" x14ac:dyDescent="0.25">
      <c r="A13" s="7" t="str">
        <f>Products!A13</f>
        <v>OIL001</v>
      </c>
      <c r="B13" s="7" t="str">
        <f>Products!B13</f>
        <v>Vegetable Oil 5L</v>
      </c>
      <c r="C13" s="7" t="str">
        <f>Products!D13</f>
        <v>Ikorodu Oil Mills (Agent)</v>
      </c>
      <c r="D13" s="14">
        <v>23</v>
      </c>
      <c r="E13" s="17">
        <f>SUMIFS(Transactions!$G$6:$G$1000,Transactions!$C$6:$C$1000,$A13,Transactions!$F$6:$F$1000,"Purchase",Transactions!$A$6:$A$1000,"&gt;="&amp;Settings!$B$5,Transactions!$A$6:$A$1000,"&lt;="&amp;Settings!$B$7)</f>
        <v>22</v>
      </c>
      <c r="F13" s="17">
        <f>SUMIFS(Transactions!$G$6:$G$1000,Transactions!$C$6:$C$1000,$A13,Transactions!$F$6:$F$1000,"Sales Return",Transactions!$A$6:$A$1000,"&gt;="&amp;Settings!$B$5,Transactions!$A$6:$A$1000,"&lt;="&amp;Settings!$B$7)</f>
        <v>1</v>
      </c>
      <c r="G13" s="17">
        <f>SUMIFS(Transactions!$G$6:$G$1000,Transactions!$C$6:$C$1000,$A13,Transactions!$F$6:$F$1000,"Sale",Transactions!$A$6:$A$1000,"&gt;="&amp;Settings!$B$5,Transactions!$A$6:$A$1000,"&lt;="&amp;Settings!$B$7)</f>
        <v>24</v>
      </c>
      <c r="H13" s="17">
        <f>SUMIFS(Transactions!$G$6:$G$1000,Transactions!$C$6:$C$1000,$A13,Transactions!$F$6:$F$1000,"Supplier Return",Transactions!$A$6:$A$1000,"&gt;="&amp;Settings!$B$5,Transactions!$A$6:$A$1000,"&lt;="&amp;Settings!$B$7)</f>
        <v>0</v>
      </c>
      <c r="I13" s="17">
        <f>SUMIFS(Transactions!$G$6:$G$1000,Transactions!$C$6:$C$1000,$A13,Transactions!$F$6:$F$1000,"Damaged",Transactions!$A$6:$A$1000,"&gt;="&amp;Settings!$B$5,Transactions!$A$6:$A$1000,"&lt;="&amp;Settings!$B$7)</f>
        <v>0</v>
      </c>
      <c r="J13" s="19">
        <f t="shared" si="0"/>
        <v>22</v>
      </c>
      <c r="K13" s="14">
        <v>21</v>
      </c>
      <c r="L13" s="20">
        <f t="shared" si="1"/>
        <v>-1</v>
      </c>
      <c r="M13" s="17">
        <f>Products!F13</f>
        <v>38000</v>
      </c>
      <c r="N13" s="21">
        <f t="shared" si="2"/>
        <v>-38000</v>
      </c>
      <c r="O13" s="22">
        <f t="shared" si="3"/>
        <v>-4.5454545454545456E-2</v>
      </c>
      <c r="P13" s="12" t="str">
        <f t="shared" si="4"/>
        <v>Shortage</v>
      </c>
    </row>
    <row r="14" spans="1:16" x14ac:dyDescent="0.25">
      <c r="A14" s="7" t="str">
        <f>Products!A14</f>
        <v>OIL002</v>
      </c>
      <c r="B14" s="7" t="str">
        <f>Products!B14</f>
        <v>Vegetable Oil 1L</v>
      </c>
      <c r="C14" s="7" t="str">
        <f>Products!D14</f>
        <v>Ikorodu Oil Mills (Agent)</v>
      </c>
      <c r="D14" s="14">
        <v>28</v>
      </c>
      <c r="E14" s="17">
        <f>SUMIFS(Transactions!$G$6:$G$1000,Transactions!$C$6:$C$1000,$A14,Transactions!$F$6:$F$1000,"Purchase",Transactions!$A$6:$A$1000,"&gt;="&amp;Settings!$B$5,Transactions!$A$6:$A$1000,"&lt;="&amp;Settings!$B$7)</f>
        <v>0</v>
      </c>
      <c r="F14" s="17">
        <f>SUMIFS(Transactions!$G$6:$G$1000,Transactions!$C$6:$C$1000,$A14,Transactions!$F$6:$F$1000,"Sales Return",Transactions!$A$6:$A$1000,"&gt;="&amp;Settings!$B$5,Transactions!$A$6:$A$1000,"&lt;="&amp;Settings!$B$7)</f>
        <v>0</v>
      </c>
      <c r="G14" s="17">
        <f>SUMIFS(Transactions!$G$6:$G$1000,Transactions!$C$6:$C$1000,$A14,Transactions!$F$6:$F$1000,"Sale",Transactions!$A$6:$A$1000,"&gt;="&amp;Settings!$B$5,Transactions!$A$6:$A$1000,"&lt;="&amp;Settings!$B$7)</f>
        <v>10</v>
      </c>
      <c r="H14" s="17">
        <f>SUMIFS(Transactions!$G$6:$G$1000,Transactions!$C$6:$C$1000,$A14,Transactions!$F$6:$F$1000,"Supplier Return",Transactions!$A$6:$A$1000,"&gt;="&amp;Settings!$B$5,Transactions!$A$6:$A$1000,"&lt;="&amp;Settings!$B$7)</f>
        <v>0</v>
      </c>
      <c r="I14" s="17">
        <f>SUMIFS(Transactions!$G$6:$G$1000,Transactions!$C$6:$C$1000,$A14,Transactions!$F$6:$F$1000,"Damaged",Transactions!$A$6:$A$1000,"&gt;="&amp;Settings!$B$5,Transactions!$A$6:$A$1000,"&lt;="&amp;Settings!$B$7)</f>
        <v>1</v>
      </c>
      <c r="J14" s="19">
        <f t="shared" si="0"/>
        <v>17</v>
      </c>
      <c r="K14" s="14">
        <v>17</v>
      </c>
      <c r="L14" s="20">
        <f t="shared" si="1"/>
        <v>0</v>
      </c>
      <c r="M14" s="17">
        <f>Products!F14</f>
        <v>36000</v>
      </c>
      <c r="N14" s="21">
        <f t="shared" si="2"/>
        <v>0</v>
      </c>
      <c r="O14" s="22">
        <f t="shared" si="3"/>
        <v>0</v>
      </c>
      <c r="P14" s="12" t="str">
        <f t="shared" si="4"/>
        <v>Match</v>
      </c>
    </row>
    <row r="15" spans="1:16" x14ac:dyDescent="0.25">
      <c r="A15" s="7" t="str">
        <f>Products!A15</f>
        <v>DET001</v>
      </c>
      <c r="B15" s="7" t="str">
        <f>Products!B15</f>
        <v>Detergent Powder 900g</v>
      </c>
      <c r="C15" s="7" t="str">
        <f>Products!D15</f>
        <v>Oshodi Home Care Supplies</v>
      </c>
      <c r="D15" s="14">
        <v>31</v>
      </c>
      <c r="E15" s="17">
        <f>SUMIFS(Transactions!$G$6:$G$1000,Transactions!$C$6:$C$1000,$A15,Transactions!$F$6:$F$1000,"Purchase",Transactions!$A$6:$A$1000,"&gt;="&amp;Settings!$B$5,Transactions!$A$6:$A$1000,"&lt;="&amp;Settings!$B$7)</f>
        <v>24</v>
      </c>
      <c r="F15" s="17">
        <f>SUMIFS(Transactions!$G$6:$G$1000,Transactions!$C$6:$C$1000,$A15,Transactions!$F$6:$F$1000,"Sales Return",Transactions!$A$6:$A$1000,"&gt;="&amp;Settings!$B$5,Transactions!$A$6:$A$1000,"&lt;="&amp;Settings!$B$7)</f>
        <v>1</v>
      </c>
      <c r="G15" s="17">
        <f>SUMIFS(Transactions!$G$6:$G$1000,Transactions!$C$6:$C$1000,$A15,Transactions!$F$6:$F$1000,"Sale",Transactions!$A$6:$A$1000,"&gt;="&amp;Settings!$B$5,Transactions!$A$6:$A$1000,"&lt;="&amp;Settings!$B$7)</f>
        <v>30</v>
      </c>
      <c r="H15" s="17">
        <f>SUMIFS(Transactions!$G$6:$G$1000,Transactions!$C$6:$C$1000,$A15,Transactions!$F$6:$F$1000,"Supplier Return",Transactions!$A$6:$A$1000,"&gt;="&amp;Settings!$B$5,Transactions!$A$6:$A$1000,"&lt;="&amp;Settings!$B$7)</f>
        <v>0</v>
      </c>
      <c r="I15" s="17">
        <f>SUMIFS(Transactions!$G$6:$G$1000,Transactions!$C$6:$C$1000,$A15,Transactions!$F$6:$F$1000,"Damaged",Transactions!$A$6:$A$1000,"&gt;="&amp;Settings!$B$5,Transactions!$A$6:$A$1000,"&lt;="&amp;Settings!$B$7)</f>
        <v>0</v>
      </c>
      <c r="J15" s="19">
        <f t="shared" si="0"/>
        <v>26</v>
      </c>
      <c r="K15" s="14">
        <v>27</v>
      </c>
      <c r="L15" s="20">
        <f t="shared" si="1"/>
        <v>1</v>
      </c>
      <c r="M15" s="17">
        <f>Products!F15</f>
        <v>14400</v>
      </c>
      <c r="N15" s="21">
        <f t="shared" si="2"/>
        <v>14400</v>
      </c>
      <c r="O15" s="22">
        <f t="shared" si="3"/>
        <v>3.8461538461538464E-2</v>
      </c>
      <c r="P15" s="12" t="str">
        <f t="shared" si="4"/>
        <v>Overage</v>
      </c>
    </row>
    <row r="16" spans="1:16" x14ac:dyDescent="0.25">
      <c r="A16" s="7" t="str">
        <f>Products!A16</f>
        <v>DET002</v>
      </c>
      <c r="B16" s="7" t="str">
        <f>Products!B16</f>
        <v>Detergent Powder 400g</v>
      </c>
      <c r="C16" s="7" t="str">
        <f>Products!D16</f>
        <v>Oshodi Home Care Supplies</v>
      </c>
      <c r="D16" s="14">
        <v>51</v>
      </c>
      <c r="E16" s="17">
        <f>SUMIFS(Transactions!$G$6:$G$1000,Transactions!$C$6:$C$1000,$A16,Transactions!$F$6:$F$1000,"Purchase",Transactions!$A$6:$A$1000,"&gt;="&amp;Settings!$B$5,Transactions!$A$6:$A$1000,"&lt;="&amp;Settings!$B$7)</f>
        <v>0</v>
      </c>
      <c r="F16" s="17">
        <f>SUMIFS(Transactions!$G$6:$G$1000,Transactions!$C$6:$C$1000,$A16,Transactions!$F$6:$F$1000,"Sales Return",Transactions!$A$6:$A$1000,"&gt;="&amp;Settings!$B$5,Transactions!$A$6:$A$1000,"&lt;="&amp;Settings!$B$7)</f>
        <v>0</v>
      </c>
      <c r="G16" s="17">
        <f>SUMIFS(Transactions!$G$6:$G$1000,Transactions!$C$6:$C$1000,$A16,Transactions!$F$6:$F$1000,"Sale",Transactions!$A$6:$A$1000,"&gt;="&amp;Settings!$B$5,Transactions!$A$6:$A$1000,"&lt;="&amp;Settings!$B$7)</f>
        <v>20</v>
      </c>
      <c r="H16" s="17">
        <f>SUMIFS(Transactions!$G$6:$G$1000,Transactions!$C$6:$C$1000,$A16,Transactions!$F$6:$F$1000,"Supplier Return",Transactions!$A$6:$A$1000,"&gt;="&amp;Settings!$B$5,Transactions!$A$6:$A$1000,"&lt;="&amp;Settings!$B$7)</f>
        <v>0</v>
      </c>
      <c r="I16" s="17">
        <f>SUMIFS(Transactions!$G$6:$G$1000,Transactions!$C$6:$C$1000,$A16,Transactions!$F$6:$F$1000,"Damaged",Transactions!$A$6:$A$1000,"&gt;="&amp;Settings!$B$5,Transactions!$A$6:$A$1000,"&lt;="&amp;Settings!$B$7)</f>
        <v>1</v>
      </c>
      <c r="J16" s="19">
        <f t="shared" si="0"/>
        <v>30</v>
      </c>
      <c r="K16" s="14">
        <v>30</v>
      </c>
      <c r="L16" s="20">
        <f t="shared" si="1"/>
        <v>0</v>
      </c>
      <c r="M16" s="17">
        <f>Products!F16</f>
        <v>17000</v>
      </c>
      <c r="N16" s="21">
        <f t="shared" si="2"/>
        <v>0</v>
      </c>
      <c r="O16" s="22">
        <f t="shared" si="3"/>
        <v>0</v>
      </c>
      <c r="P16" s="12" t="str">
        <f t="shared" si="4"/>
        <v>Match</v>
      </c>
    </row>
    <row r="17" spans="1:16" x14ac:dyDescent="0.25">
      <c r="A17" s="7" t="str">
        <f>Products!A17</f>
        <v>DET003</v>
      </c>
      <c r="B17" s="7" t="str">
        <f>Products!B17</f>
        <v>Laundry Bar Soap</v>
      </c>
      <c r="C17" s="7" t="str">
        <f>Products!D17</f>
        <v>Oshodi Home Care Supplies</v>
      </c>
      <c r="D17" s="14">
        <v>35</v>
      </c>
      <c r="E17" s="17">
        <f>SUMIFS(Transactions!$G$6:$G$1000,Transactions!$C$6:$C$1000,$A17,Transactions!$F$6:$F$1000,"Purchase",Transactions!$A$6:$A$1000,"&gt;="&amp;Settings!$B$5,Transactions!$A$6:$A$1000,"&lt;="&amp;Settings!$B$7)</f>
        <v>0</v>
      </c>
      <c r="F17" s="17">
        <f>SUMIFS(Transactions!$G$6:$G$1000,Transactions!$C$6:$C$1000,$A17,Transactions!$F$6:$F$1000,"Sales Return",Transactions!$A$6:$A$1000,"&gt;="&amp;Settings!$B$5,Transactions!$A$6:$A$1000,"&lt;="&amp;Settings!$B$7)</f>
        <v>0</v>
      </c>
      <c r="G17" s="17">
        <f>SUMIFS(Transactions!$G$6:$G$1000,Transactions!$C$6:$C$1000,$A17,Transactions!$F$6:$F$1000,"Sale",Transactions!$A$6:$A$1000,"&gt;="&amp;Settings!$B$5,Transactions!$A$6:$A$1000,"&lt;="&amp;Settings!$B$7)</f>
        <v>7</v>
      </c>
      <c r="H17" s="17">
        <f>SUMIFS(Transactions!$G$6:$G$1000,Transactions!$C$6:$C$1000,$A17,Transactions!$F$6:$F$1000,"Supplier Return",Transactions!$A$6:$A$1000,"&gt;="&amp;Settings!$B$5,Transactions!$A$6:$A$1000,"&lt;="&amp;Settings!$B$7)</f>
        <v>0</v>
      </c>
      <c r="I17" s="17">
        <f>SUMIFS(Transactions!$G$6:$G$1000,Transactions!$C$6:$C$1000,$A17,Transactions!$F$6:$F$1000,"Damaged",Transactions!$A$6:$A$1000,"&gt;="&amp;Settings!$B$5,Transactions!$A$6:$A$1000,"&lt;="&amp;Settings!$B$7)</f>
        <v>0</v>
      </c>
      <c r="J17" s="19">
        <f t="shared" si="0"/>
        <v>28</v>
      </c>
      <c r="K17" s="14">
        <v>28</v>
      </c>
      <c r="L17" s="20">
        <f t="shared" si="1"/>
        <v>0</v>
      </c>
      <c r="M17" s="17">
        <f>Products!F17</f>
        <v>9000</v>
      </c>
      <c r="N17" s="21">
        <f t="shared" si="2"/>
        <v>0</v>
      </c>
      <c r="O17" s="22">
        <f t="shared" si="3"/>
        <v>0</v>
      </c>
      <c r="P17" s="12" t="str">
        <f t="shared" si="4"/>
        <v>Match</v>
      </c>
    </row>
    <row r="18" spans="1:16" x14ac:dyDescent="0.25">
      <c r="A18" s="7" t="str">
        <f>Products!A18</f>
        <v>FDS001</v>
      </c>
      <c r="B18" s="7" t="str">
        <f>Products!B18</f>
        <v>Evaporated Milk 160g Tin</v>
      </c>
      <c r="C18" s="7" t="str">
        <f>Products!D18</f>
        <v>Idumota Dry Goods Traders</v>
      </c>
      <c r="D18" s="14">
        <v>21</v>
      </c>
      <c r="E18" s="17">
        <f>SUMIFS(Transactions!$G$6:$G$1000,Transactions!$C$6:$C$1000,$A18,Transactions!$F$6:$F$1000,"Purchase",Transactions!$A$6:$A$1000,"&gt;="&amp;Settings!$B$5,Transactions!$A$6:$A$1000,"&lt;="&amp;Settings!$B$7)</f>
        <v>14</v>
      </c>
      <c r="F18" s="17">
        <f>SUMIFS(Transactions!$G$6:$G$1000,Transactions!$C$6:$C$1000,$A18,Transactions!$F$6:$F$1000,"Sales Return",Transactions!$A$6:$A$1000,"&gt;="&amp;Settings!$B$5,Transactions!$A$6:$A$1000,"&lt;="&amp;Settings!$B$7)</f>
        <v>1</v>
      </c>
      <c r="G18" s="17">
        <f>SUMIFS(Transactions!$G$6:$G$1000,Transactions!$C$6:$C$1000,$A18,Transactions!$F$6:$F$1000,"Sale",Transactions!$A$6:$A$1000,"&gt;="&amp;Settings!$B$5,Transactions!$A$6:$A$1000,"&lt;="&amp;Settings!$B$7)</f>
        <v>18</v>
      </c>
      <c r="H18" s="17">
        <f>SUMIFS(Transactions!$G$6:$G$1000,Transactions!$C$6:$C$1000,$A18,Transactions!$F$6:$F$1000,"Supplier Return",Transactions!$A$6:$A$1000,"&gt;="&amp;Settings!$B$5,Transactions!$A$6:$A$1000,"&lt;="&amp;Settings!$B$7)</f>
        <v>1</v>
      </c>
      <c r="I18" s="17">
        <f>SUMIFS(Transactions!$G$6:$G$1000,Transactions!$C$6:$C$1000,$A18,Transactions!$F$6:$F$1000,"Damaged",Transactions!$A$6:$A$1000,"&gt;="&amp;Settings!$B$5,Transactions!$A$6:$A$1000,"&lt;="&amp;Settings!$B$7)</f>
        <v>0</v>
      </c>
      <c r="J18" s="19">
        <f t="shared" si="0"/>
        <v>17</v>
      </c>
      <c r="K18" s="14">
        <v>17</v>
      </c>
      <c r="L18" s="20">
        <f t="shared" si="1"/>
        <v>0</v>
      </c>
      <c r="M18" s="17">
        <f>Products!F18</f>
        <v>28000</v>
      </c>
      <c r="N18" s="21">
        <f t="shared" si="2"/>
        <v>0</v>
      </c>
      <c r="O18" s="22">
        <f t="shared" si="3"/>
        <v>0</v>
      </c>
      <c r="P18" s="12" t="str">
        <f t="shared" si="4"/>
        <v>Match</v>
      </c>
    </row>
    <row r="19" spans="1:16" x14ac:dyDescent="0.25">
      <c r="A19" s="7" t="str">
        <f>Products!A19</f>
        <v>FDS002</v>
      </c>
      <c r="B19" s="7" t="str">
        <f>Products!B19</f>
        <v>Tomato Paste 70g Sachet</v>
      </c>
      <c r="C19" s="7" t="str">
        <f>Products!D19</f>
        <v>Idumota Dry Goods Traders</v>
      </c>
      <c r="D19" s="14">
        <v>43</v>
      </c>
      <c r="E19" s="17">
        <f>SUMIFS(Transactions!$G$6:$G$1000,Transactions!$C$6:$C$1000,$A19,Transactions!$F$6:$F$1000,"Purchase",Transactions!$A$6:$A$1000,"&gt;="&amp;Settings!$B$5,Transactions!$A$6:$A$1000,"&lt;="&amp;Settings!$B$7)</f>
        <v>20</v>
      </c>
      <c r="F19" s="17">
        <f>SUMIFS(Transactions!$G$6:$G$1000,Transactions!$C$6:$C$1000,$A19,Transactions!$F$6:$F$1000,"Sales Return",Transactions!$A$6:$A$1000,"&gt;="&amp;Settings!$B$5,Transactions!$A$6:$A$1000,"&lt;="&amp;Settings!$B$7)</f>
        <v>1</v>
      </c>
      <c r="G19" s="17">
        <f>SUMIFS(Transactions!$G$6:$G$1000,Transactions!$C$6:$C$1000,$A19,Transactions!$F$6:$F$1000,"Sale",Transactions!$A$6:$A$1000,"&gt;="&amp;Settings!$B$5,Transactions!$A$6:$A$1000,"&lt;="&amp;Settings!$B$7)</f>
        <v>26</v>
      </c>
      <c r="H19" s="17">
        <f>SUMIFS(Transactions!$G$6:$G$1000,Transactions!$C$6:$C$1000,$A19,Transactions!$F$6:$F$1000,"Supplier Return",Transactions!$A$6:$A$1000,"&gt;="&amp;Settings!$B$5,Transactions!$A$6:$A$1000,"&lt;="&amp;Settings!$B$7)</f>
        <v>0</v>
      </c>
      <c r="I19" s="17">
        <f>SUMIFS(Transactions!$G$6:$G$1000,Transactions!$C$6:$C$1000,$A19,Transactions!$F$6:$F$1000,"Damaged",Transactions!$A$6:$A$1000,"&gt;="&amp;Settings!$B$5,Transactions!$A$6:$A$1000,"&lt;="&amp;Settings!$B$7)</f>
        <v>2</v>
      </c>
      <c r="J19" s="19">
        <f t="shared" si="0"/>
        <v>36</v>
      </c>
      <c r="K19" s="14">
        <v>36</v>
      </c>
      <c r="L19" s="20">
        <f t="shared" si="1"/>
        <v>0</v>
      </c>
      <c r="M19" s="17">
        <f>Products!F19</f>
        <v>15500</v>
      </c>
      <c r="N19" s="21">
        <f t="shared" si="2"/>
        <v>0</v>
      </c>
      <c r="O19" s="22">
        <f t="shared" si="3"/>
        <v>0</v>
      </c>
      <c r="P19" s="12" t="str">
        <f t="shared" si="4"/>
        <v>Match</v>
      </c>
    </row>
    <row r="20" spans="1:16" x14ac:dyDescent="0.25">
      <c r="A20" s="7" t="str">
        <f>Products!A20</f>
        <v>FDS003</v>
      </c>
      <c r="B20" s="7" t="str">
        <f>Products!B20</f>
        <v>Seasoning Cubes</v>
      </c>
      <c r="C20" s="7" t="str">
        <f>Products!D20</f>
        <v>Idumota Dry Goods Traders</v>
      </c>
      <c r="D20" s="14">
        <v>50</v>
      </c>
      <c r="E20" s="17">
        <f>SUMIFS(Transactions!$G$6:$G$1000,Transactions!$C$6:$C$1000,$A20,Transactions!$F$6:$F$1000,"Purchase",Transactions!$A$6:$A$1000,"&gt;="&amp;Settings!$B$5,Transactions!$A$6:$A$1000,"&lt;="&amp;Settings!$B$7)</f>
        <v>0</v>
      </c>
      <c r="F20" s="17">
        <f>SUMIFS(Transactions!$G$6:$G$1000,Transactions!$C$6:$C$1000,$A20,Transactions!$F$6:$F$1000,"Sales Return",Transactions!$A$6:$A$1000,"&gt;="&amp;Settings!$B$5,Transactions!$A$6:$A$1000,"&lt;="&amp;Settings!$B$7)</f>
        <v>0</v>
      </c>
      <c r="G20" s="17">
        <f>SUMIFS(Transactions!$G$6:$G$1000,Transactions!$C$6:$C$1000,$A20,Transactions!$F$6:$F$1000,"Sale",Transactions!$A$6:$A$1000,"&gt;="&amp;Settings!$B$5,Transactions!$A$6:$A$1000,"&lt;="&amp;Settings!$B$7)</f>
        <v>15</v>
      </c>
      <c r="H20" s="17">
        <f>SUMIFS(Transactions!$G$6:$G$1000,Transactions!$C$6:$C$1000,$A20,Transactions!$F$6:$F$1000,"Supplier Return",Transactions!$A$6:$A$1000,"&gt;="&amp;Settings!$B$5,Transactions!$A$6:$A$1000,"&lt;="&amp;Settings!$B$7)</f>
        <v>0</v>
      </c>
      <c r="I20" s="17">
        <f>SUMIFS(Transactions!$G$6:$G$1000,Transactions!$C$6:$C$1000,$A20,Transactions!$F$6:$F$1000,"Damaged",Transactions!$A$6:$A$1000,"&gt;="&amp;Settings!$B$5,Transactions!$A$6:$A$1000,"&lt;="&amp;Settings!$B$7)</f>
        <v>0</v>
      </c>
      <c r="J20" s="19">
        <f t="shared" si="0"/>
        <v>35</v>
      </c>
      <c r="K20" s="14">
        <v>35</v>
      </c>
      <c r="L20" s="20">
        <f t="shared" si="1"/>
        <v>0</v>
      </c>
      <c r="M20" s="17">
        <f>Products!F20</f>
        <v>14000</v>
      </c>
      <c r="N20" s="21">
        <f t="shared" si="2"/>
        <v>0</v>
      </c>
      <c r="O20" s="22">
        <f t="shared" si="3"/>
        <v>0</v>
      </c>
      <c r="P20" s="12" t="str">
        <f t="shared" si="4"/>
        <v>Match</v>
      </c>
    </row>
    <row r="21" spans="1:16" x14ac:dyDescent="0.25">
      <c r="A21" s="7" t="str">
        <f>Products!A21</f>
        <v>FDS004</v>
      </c>
      <c r="B21" s="7" t="str">
        <f>Products!B21</f>
        <v>Granulated Sugar 500g</v>
      </c>
      <c r="C21" s="7" t="str">
        <f>Products!D21</f>
        <v>Idumota Dry Goods Traders</v>
      </c>
      <c r="D21" s="14">
        <v>102</v>
      </c>
      <c r="E21" s="17">
        <f>SUMIFS(Transactions!$G$6:$G$1000,Transactions!$C$6:$C$1000,$A21,Transactions!$F$6:$F$1000,"Purchase",Transactions!$A$6:$A$1000,"&gt;="&amp;Settings!$B$5,Transactions!$A$6:$A$1000,"&lt;="&amp;Settings!$B$7)</f>
        <v>0</v>
      </c>
      <c r="F21" s="17">
        <f>SUMIFS(Transactions!$G$6:$G$1000,Transactions!$C$6:$C$1000,$A21,Transactions!$F$6:$F$1000,"Sales Return",Transactions!$A$6:$A$1000,"&gt;="&amp;Settings!$B$5,Transactions!$A$6:$A$1000,"&lt;="&amp;Settings!$B$7)</f>
        <v>0</v>
      </c>
      <c r="G21" s="17">
        <f>SUMIFS(Transactions!$G$6:$G$1000,Transactions!$C$6:$C$1000,$A21,Transactions!$F$6:$F$1000,"Sale",Transactions!$A$6:$A$1000,"&gt;="&amp;Settings!$B$5,Transactions!$A$6:$A$1000,"&lt;="&amp;Settings!$B$7)</f>
        <v>33</v>
      </c>
      <c r="H21" s="17">
        <f>SUMIFS(Transactions!$G$6:$G$1000,Transactions!$C$6:$C$1000,$A21,Transactions!$F$6:$F$1000,"Supplier Return",Transactions!$A$6:$A$1000,"&gt;="&amp;Settings!$B$5,Transactions!$A$6:$A$1000,"&lt;="&amp;Settings!$B$7)</f>
        <v>0</v>
      </c>
      <c r="I21" s="17">
        <f>SUMIFS(Transactions!$G$6:$G$1000,Transactions!$C$6:$C$1000,$A21,Transactions!$F$6:$F$1000,"Damaged",Transactions!$A$6:$A$1000,"&gt;="&amp;Settings!$B$5,Transactions!$A$6:$A$1000,"&lt;="&amp;Settings!$B$7)</f>
        <v>1</v>
      </c>
      <c r="J21" s="19">
        <f t="shared" si="0"/>
        <v>68</v>
      </c>
      <c r="K21" s="14">
        <v>66</v>
      </c>
      <c r="L21" s="20">
        <f t="shared" si="1"/>
        <v>-2</v>
      </c>
      <c r="M21" s="17">
        <f>Products!F21</f>
        <v>17000</v>
      </c>
      <c r="N21" s="21">
        <f t="shared" si="2"/>
        <v>-34000</v>
      </c>
      <c r="O21" s="22">
        <f t="shared" si="3"/>
        <v>-2.9411764705882353E-2</v>
      </c>
      <c r="P21" s="12" t="str">
        <f t="shared" si="4"/>
        <v>Shortage</v>
      </c>
    </row>
    <row r="22" spans="1:16" x14ac:dyDescent="0.25">
      <c r="A22" s="7" t="str">
        <f>Products!A22</f>
        <v>FDS005</v>
      </c>
      <c r="B22" s="7" t="str">
        <f>Products!B22</f>
        <v>Table Salt 500g</v>
      </c>
      <c r="C22" s="7" t="str">
        <f>Products!D22</f>
        <v>Idumota Dry Goods Traders</v>
      </c>
      <c r="D22" s="14">
        <v>24</v>
      </c>
      <c r="E22" s="17">
        <f>SUMIFS(Transactions!$G$6:$G$1000,Transactions!$C$6:$C$1000,$A22,Transactions!$F$6:$F$1000,"Purchase",Transactions!$A$6:$A$1000,"&gt;="&amp;Settings!$B$5,Transactions!$A$6:$A$1000,"&lt;="&amp;Settings!$B$7)</f>
        <v>0</v>
      </c>
      <c r="F22" s="17">
        <f>SUMIFS(Transactions!$G$6:$G$1000,Transactions!$C$6:$C$1000,$A22,Transactions!$F$6:$F$1000,"Sales Return",Transactions!$A$6:$A$1000,"&gt;="&amp;Settings!$B$5,Transactions!$A$6:$A$1000,"&lt;="&amp;Settings!$B$7)</f>
        <v>0</v>
      </c>
      <c r="G22" s="17">
        <f>SUMIFS(Transactions!$G$6:$G$1000,Transactions!$C$6:$C$1000,$A22,Transactions!$F$6:$F$1000,"Sale",Transactions!$A$6:$A$1000,"&gt;="&amp;Settings!$B$5,Transactions!$A$6:$A$1000,"&lt;="&amp;Settings!$B$7)</f>
        <v>4</v>
      </c>
      <c r="H22" s="17">
        <f>SUMIFS(Transactions!$G$6:$G$1000,Transactions!$C$6:$C$1000,$A22,Transactions!$F$6:$F$1000,"Supplier Return",Transactions!$A$6:$A$1000,"&gt;="&amp;Settings!$B$5,Transactions!$A$6:$A$1000,"&lt;="&amp;Settings!$B$7)</f>
        <v>0</v>
      </c>
      <c r="I22" s="17">
        <f>SUMIFS(Transactions!$G$6:$G$1000,Transactions!$C$6:$C$1000,$A22,Transactions!$F$6:$F$1000,"Damaged",Transactions!$A$6:$A$1000,"&gt;="&amp;Settings!$B$5,Transactions!$A$6:$A$1000,"&lt;="&amp;Settings!$B$7)</f>
        <v>0</v>
      </c>
      <c r="J22" s="19">
        <f t="shared" si="0"/>
        <v>20</v>
      </c>
      <c r="K22" s="14">
        <v>20</v>
      </c>
      <c r="L22" s="20">
        <f t="shared" si="1"/>
        <v>0</v>
      </c>
      <c r="M22" s="17">
        <f>Products!F22</f>
        <v>6500</v>
      </c>
      <c r="N22" s="21">
        <f t="shared" si="2"/>
        <v>0</v>
      </c>
      <c r="O22" s="22">
        <f t="shared" si="3"/>
        <v>0</v>
      </c>
      <c r="P22" s="12" t="str">
        <f t="shared" si="4"/>
        <v>Match</v>
      </c>
    </row>
    <row r="23" spans="1:16" x14ac:dyDescent="0.25">
      <c r="A23" s="7" t="str">
        <f>Products!A23</f>
        <v>FDS006</v>
      </c>
      <c r="B23" s="7" t="str">
        <f>Products!B23</f>
        <v>Cocoa Beverage Powder 400g</v>
      </c>
      <c r="C23" s="7" t="str">
        <f>Products!D23</f>
        <v>Idumota Dry Goods Traders</v>
      </c>
      <c r="D23" s="14">
        <v>32</v>
      </c>
      <c r="E23" s="17">
        <f>SUMIFS(Transactions!$G$6:$G$1000,Transactions!$C$6:$C$1000,$A23,Transactions!$F$6:$F$1000,"Purchase",Transactions!$A$6:$A$1000,"&gt;="&amp;Settings!$B$5,Transactions!$A$6:$A$1000,"&lt;="&amp;Settings!$B$7)</f>
        <v>0</v>
      </c>
      <c r="F23" s="17">
        <f>SUMIFS(Transactions!$G$6:$G$1000,Transactions!$C$6:$C$1000,$A23,Transactions!$F$6:$F$1000,"Sales Return",Transactions!$A$6:$A$1000,"&gt;="&amp;Settings!$B$5,Transactions!$A$6:$A$1000,"&lt;="&amp;Settings!$B$7)</f>
        <v>0</v>
      </c>
      <c r="G23" s="17">
        <f>SUMIFS(Transactions!$G$6:$G$1000,Transactions!$C$6:$C$1000,$A23,Transactions!$F$6:$F$1000,"Sale",Transactions!$A$6:$A$1000,"&gt;="&amp;Settings!$B$5,Transactions!$A$6:$A$1000,"&lt;="&amp;Settings!$B$7)</f>
        <v>6</v>
      </c>
      <c r="H23" s="17">
        <f>SUMIFS(Transactions!$G$6:$G$1000,Transactions!$C$6:$C$1000,$A23,Transactions!$F$6:$F$1000,"Supplier Return",Transactions!$A$6:$A$1000,"&gt;="&amp;Settings!$B$5,Transactions!$A$6:$A$1000,"&lt;="&amp;Settings!$B$7)</f>
        <v>0</v>
      </c>
      <c r="I23" s="17">
        <f>SUMIFS(Transactions!$G$6:$G$1000,Transactions!$C$6:$C$1000,$A23,Transactions!$F$6:$F$1000,"Damaged",Transactions!$A$6:$A$1000,"&gt;="&amp;Settings!$B$5,Transactions!$A$6:$A$1000,"&lt;="&amp;Settings!$B$7)</f>
        <v>0</v>
      </c>
      <c r="J23" s="19">
        <f t="shared" si="0"/>
        <v>26</v>
      </c>
      <c r="K23" s="14">
        <v>26</v>
      </c>
      <c r="L23" s="20">
        <f t="shared" si="1"/>
        <v>0</v>
      </c>
      <c r="M23" s="17">
        <f>Products!F23</f>
        <v>21000</v>
      </c>
      <c r="N23" s="21">
        <f t="shared" si="2"/>
        <v>0</v>
      </c>
      <c r="O23" s="22">
        <f t="shared" si="3"/>
        <v>0</v>
      </c>
      <c r="P23" s="12" t="str">
        <f t="shared" si="4"/>
        <v>Match</v>
      </c>
    </row>
    <row r="24" spans="1:16" x14ac:dyDescent="0.25">
      <c r="A24" s="23" t="s">
        <v>454</v>
      </c>
      <c r="B24" s="24"/>
      <c r="C24" s="24"/>
      <c r="D24" s="25">
        <f t="shared" ref="D24:L24" si="5">SUM(D6:D23)</f>
        <v>784</v>
      </c>
      <c r="E24" s="25">
        <f t="shared" si="5"/>
        <v>345</v>
      </c>
      <c r="F24" s="25">
        <f t="shared" si="5"/>
        <v>10</v>
      </c>
      <c r="G24" s="25">
        <f t="shared" si="5"/>
        <v>532</v>
      </c>
      <c r="H24" s="25">
        <f t="shared" si="5"/>
        <v>4</v>
      </c>
      <c r="I24" s="25">
        <f t="shared" si="5"/>
        <v>9</v>
      </c>
      <c r="J24" s="25">
        <f t="shared" si="5"/>
        <v>594</v>
      </c>
      <c r="K24" s="25">
        <f t="shared" si="5"/>
        <v>584</v>
      </c>
      <c r="L24" s="26">
        <f t="shared" si="5"/>
        <v>-10</v>
      </c>
      <c r="M24" s="24"/>
      <c r="N24" s="27">
        <f>SUM(N6:N23)</f>
        <v>-86900</v>
      </c>
      <c r="O24" s="24"/>
      <c r="P24" s="24"/>
    </row>
  </sheetData>
  <conditionalFormatting sqref="P6:P23">
    <cfRule type="expression" dxfId="20" priority="2">
      <formula>P6="Shortage"</formula>
    </cfRule>
    <cfRule type="expression" dxfId="19" priority="3">
      <formula>P6="Overage"</formula>
    </cfRule>
    <cfRule type="expression" dxfId="18" priority="4">
      <formula>P6="Match"</formula>
    </cfRule>
    <cfRule type="expression" dxfId="17" priority="5">
      <formula>P6="Not counted"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7109375" defaultRowHeight="15" x14ac:dyDescent="0.25"/>
  <cols>
    <col min="1" max="1" width="14" customWidth="1"/>
    <col min="2" max="2" width="30" customWidth="1"/>
    <col min="3" max="3" width="29" customWidth="1"/>
    <col min="4" max="4" width="14" customWidth="1"/>
    <col min="5" max="5" width="15" customWidth="1"/>
    <col min="6" max="7" width="11" customWidth="1"/>
    <col min="8" max="8" width="13" customWidth="1"/>
    <col min="9" max="10" width="12" customWidth="1"/>
    <col min="11" max="11" width="15" customWidth="1"/>
    <col min="12" max="12" width="13" customWidth="1"/>
    <col min="13" max="13" width="11" customWidth="1"/>
    <col min="14" max="15" width="16" customWidth="1"/>
  </cols>
  <sheetData>
    <row r="1" spans="1:15" ht="18" x14ac:dyDescent="0.25">
      <c r="A1" s="5" t="s">
        <v>455</v>
      </c>
    </row>
    <row r="2" spans="1:15" x14ac:dyDescent="0.25">
      <c r="A2" s="6" t="s">
        <v>456</v>
      </c>
    </row>
    <row r="4" spans="1:15" ht="25.5" x14ac:dyDescent="0.25">
      <c r="A4" s="28" t="s">
        <v>457</v>
      </c>
      <c r="B4" s="29" t="s">
        <v>458</v>
      </c>
      <c r="C4" s="30" t="s">
        <v>459</v>
      </c>
      <c r="D4" s="31" t="s">
        <v>460</v>
      </c>
      <c r="E4" s="9" t="s">
        <v>461</v>
      </c>
    </row>
    <row r="5" spans="1:15" ht="20.25" x14ac:dyDescent="0.25">
      <c r="A5" s="32">
        <f>COUNTIF($K$9:$K$26,"STOCK-OUT")</f>
        <v>1</v>
      </c>
      <c r="B5" s="32">
        <f>COUNTIF($K$9:$K$26,"REORDER NOW")</f>
        <v>4</v>
      </c>
      <c r="C5" s="32">
        <f>COUNTIF($K$9:$K$26,"APPROACHING")</f>
        <v>3</v>
      </c>
      <c r="D5" s="32">
        <f>COUNTIF($K$9:$K$26,"OK")</f>
        <v>10</v>
      </c>
      <c r="E5" s="33">
        <f>SUM(N9:N26)</f>
        <v>3977800</v>
      </c>
    </row>
    <row r="8" spans="1:15" ht="43.5" customHeight="1" x14ac:dyDescent="0.25">
      <c r="A8" s="9" t="s">
        <v>119</v>
      </c>
      <c r="B8" s="9" t="s">
        <v>120</v>
      </c>
      <c r="C8" s="9" t="s">
        <v>122</v>
      </c>
      <c r="D8" s="9" t="s">
        <v>462</v>
      </c>
      <c r="E8" s="9" t="s">
        <v>463</v>
      </c>
      <c r="F8" s="9" t="s">
        <v>464</v>
      </c>
      <c r="G8" s="9" t="s">
        <v>465</v>
      </c>
      <c r="H8" s="9" t="s">
        <v>466</v>
      </c>
      <c r="I8" s="9" t="s">
        <v>467</v>
      </c>
      <c r="J8" s="9" t="s">
        <v>468</v>
      </c>
      <c r="K8" s="9" t="s">
        <v>469</v>
      </c>
      <c r="L8" s="9" t="s">
        <v>470</v>
      </c>
      <c r="M8" s="9" t="s">
        <v>124</v>
      </c>
      <c r="N8" s="9" t="s">
        <v>471</v>
      </c>
      <c r="O8" s="9" t="s">
        <v>472</v>
      </c>
    </row>
    <row r="9" spans="1:15" x14ac:dyDescent="0.25">
      <c r="A9" s="7" t="str">
        <f>Products!A6</f>
        <v>BEV001</v>
      </c>
      <c r="B9" s="7" t="str">
        <f>Products!B6</f>
        <v>Cola Soft Drink 50cl PET</v>
      </c>
      <c r="C9" s="7" t="str">
        <f>Products!D6</f>
        <v>Apapa Beverages Depot</v>
      </c>
      <c r="D9" s="34">
        <f>Products!H6</f>
        <v>2</v>
      </c>
      <c r="E9" s="10">
        <f>IF(Register!K6="",Register!J6,Register!K6)</f>
        <v>25</v>
      </c>
      <c r="F9" s="35">
        <f>Register!G6/Settings!$B$6</f>
        <v>10</v>
      </c>
      <c r="G9" s="35">
        <f t="shared" ref="G9:G26" si="0">IF(F9=0,"n/a",E9/F9)</f>
        <v>2.5</v>
      </c>
      <c r="H9" s="10">
        <f>ROUNDUP(F9*(D9+Settings!$B$8),0)</f>
        <v>40</v>
      </c>
      <c r="I9" s="16"/>
      <c r="J9" s="36">
        <f t="shared" ref="J9:J26" si="1">IF(I9="",H9,I9)</f>
        <v>40</v>
      </c>
      <c r="K9" s="12" t="str">
        <f>IF(E9&lt;=0,"STOCK-OUT",IF(E9&lt;=J9,"REORDER NOW",IF(E9&lt;=J9*(1+Settings!$B$10),"APPROACHING","OK")))</f>
        <v>REORDER NOW</v>
      </c>
      <c r="L9" s="36">
        <f>IF(OR(K9="STOCK-OUT",K9="REORDER NOW"),MAX(0,ROUNDUP(F9*Settings!$B$9-E9,0)),0)</f>
        <v>115</v>
      </c>
      <c r="M9" s="17">
        <f>Products!F6</f>
        <v>5200</v>
      </c>
      <c r="N9" s="21">
        <f t="shared" ref="N9:N26" si="2">L9*M9</f>
        <v>598000</v>
      </c>
      <c r="O9" s="37" t="str">
        <f t="shared" ref="O9:O26" si="3">IF(K9="STOCK-OUT",REPT("█",3),IF(K9="REORDER NOW",REPT("█",6),IF(K9="APPROACHING",REPT("█",9),REPT("█",12))))</f>
        <v>██████</v>
      </c>
    </row>
    <row r="10" spans="1:15" x14ac:dyDescent="0.25">
      <c r="A10" s="7" t="str">
        <f>Products!A7</f>
        <v>BEV002</v>
      </c>
      <c r="B10" s="7" t="str">
        <f>Products!B7</f>
        <v>Orange Soft Drink 50cl PET</v>
      </c>
      <c r="C10" s="7" t="str">
        <f>Products!D7</f>
        <v>Apapa Beverages Depot</v>
      </c>
      <c r="D10" s="34">
        <f>Products!H7</f>
        <v>2</v>
      </c>
      <c r="E10" s="10">
        <f>IF(Register!K7="",Register!J7,Register!K7)</f>
        <v>25</v>
      </c>
      <c r="F10" s="35">
        <f>Register!G7/Settings!$B$6</f>
        <v>7</v>
      </c>
      <c r="G10" s="35">
        <f t="shared" si="0"/>
        <v>3.5714285714285716</v>
      </c>
      <c r="H10" s="10">
        <f>ROUNDUP(F10*(D10+Settings!$B$8),0)</f>
        <v>28</v>
      </c>
      <c r="I10" s="16"/>
      <c r="J10" s="36">
        <f t="shared" si="1"/>
        <v>28</v>
      </c>
      <c r="K10" s="12" t="str">
        <f>IF(E10&lt;=0,"STOCK-OUT",IF(E10&lt;=J10,"REORDER NOW",IF(E10&lt;=J10*(1+Settings!$B$10),"APPROACHING","OK")))</f>
        <v>REORDER NOW</v>
      </c>
      <c r="L10" s="36">
        <f>IF(OR(K10="STOCK-OUT",K10="REORDER NOW"),MAX(0,ROUNDUP(F10*Settings!$B$9-E10,0)),0)</f>
        <v>73</v>
      </c>
      <c r="M10" s="17">
        <f>Products!F7</f>
        <v>5200</v>
      </c>
      <c r="N10" s="21">
        <f t="shared" si="2"/>
        <v>379600</v>
      </c>
      <c r="O10" s="37" t="str">
        <f t="shared" si="3"/>
        <v>██████</v>
      </c>
    </row>
    <row r="11" spans="1:15" x14ac:dyDescent="0.25">
      <c r="A11" s="7" t="str">
        <f>Products!A8</f>
        <v>BEV003</v>
      </c>
      <c r="B11" s="7" t="str">
        <f>Products!B8</f>
        <v>Table Water 75cl</v>
      </c>
      <c r="C11" s="7" t="str">
        <f>Products!D8</f>
        <v>Apapa Beverages Depot</v>
      </c>
      <c r="D11" s="34">
        <f>Products!H8</f>
        <v>2</v>
      </c>
      <c r="E11" s="10">
        <f>IF(Register!K8="",Register!J8,Register!K8)</f>
        <v>55</v>
      </c>
      <c r="F11" s="35">
        <f>Register!G8/Settings!$B$6</f>
        <v>12</v>
      </c>
      <c r="G11" s="35">
        <f t="shared" si="0"/>
        <v>4.583333333333333</v>
      </c>
      <c r="H11" s="10">
        <f>ROUNDUP(F11*(D11+Settings!$B$8),0)</f>
        <v>48</v>
      </c>
      <c r="I11" s="16"/>
      <c r="J11" s="36">
        <f t="shared" si="1"/>
        <v>48</v>
      </c>
      <c r="K11" s="12" t="str">
        <f>IF(E11&lt;=0,"STOCK-OUT",IF(E11&lt;=J11,"REORDER NOW",IF(E11&lt;=J11*(1+Settings!$B$10),"APPROACHING","OK")))</f>
        <v>APPROACHING</v>
      </c>
      <c r="L11" s="36">
        <f>IF(OR(K11="STOCK-OUT",K11="REORDER NOW"),MAX(0,ROUNDUP(F11*Settings!$B$9-E11,0)),0)</f>
        <v>0</v>
      </c>
      <c r="M11" s="17">
        <f>Products!F8</f>
        <v>1900</v>
      </c>
      <c r="N11" s="21">
        <f t="shared" si="2"/>
        <v>0</v>
      </c>
      <c r="O11" s="37" t="str">
        <f t="shared" si="3"/>
        <v>█████████</v>
      </c>
    </row>
    <row r="12" spans="1:15" x14ac:dyDescent="0.25">
      <c r="A12" s="7" t="str">
        <f>Products!A9</f>
        <v>BEV004</v>
      </c>
      <c r="B12" s="7" t="str">
        <f>Products!B9</f>
        <v>Malt Drink 33cl Can</v>
      </c>
      <c r="C12" s="7" t="str">
        <f>Products!D9</f>
        <v>Apapa Beverages Depot</v>
      </c>
      <c r="D12" s="34">
        <f>Products!H9</f>
        <v>2</v>
      </c>
      <c r="E12" s="10">
        <f>IF(Register!K9="",Register!J9,Register!K9)</f>
        <v>27</v>
      </c>
      <c r="F12" s="35">
        <f>Register!G9/Settings!$B$6</f>
        <v>1.5</v>
      </c>
      <c r="G12" s="35">
        <f t="shared" si="0"/>
        <v>18</v>
      </c>
      <c r="H12" s="10">
        <f>ROUNDUP(F12*(D12+Settings!$B$8),0)</f>
        <v>6</v>
      </c>
      <c r="I12" s="16"/>
      <c r="J12" s="36">
        <f t="shared" si="1"/>
        <v>6</v>
      </c>
      <c r="K12" s="12" t="str">
        <f>IF(E12&lt;=0,"STOCK-OUT",IF(E12&lt;=J12,"REORDER NOW",IF(E12&lt;=J12*(1+Settings!$B$10),"APPROACHING","OK")))</f>
        <v>OK</v>
      </c>
      <c r="L12" s="36">
        <f>IF(OR(K12="STOCK-OUT",K12="REORDER NOW"),MAX(0,ROUNDUP(F12*Settings!$B$9-E12,0)),0)</f>
        <v>0</v>
      </c>
      <c r="M12" s="17">
        <f>Products!F9</f>
        <v>9800</v>
      </c>
      <c r="N12" s="21">
        <f t="shared" si="2"/>
        <v>0</v>
      </c>
      <c r="O12" s="37" t="str">
        <f t="shared" si="3"/>
        <v>████████████</v>
      </c>
    </row>
    <row r="13" spans="1:15" x14ac:dyDescent="0.25">
      <c r="A13" s="7" t="str">
        <f>Products!A10</f>
        <v>NDL001</v>
      </c>
      <c r="B13" s="7" t="str">
        <f>Products!B10</f>
        <v>Instant Noodles Chicken 70g</v>
      </c>
      <c r="C13" s="7" t="str">
        <f>Products!D10</f>
        <v>Mushin Noodles &amp; Foods Ltd</v>
      </c>
      <c r="D13" s="34">
        <f>Products!H10</f>
        <v>3</v>
      </c>
      <c r="E13" s="10">
        <f>IF(Register!K10="",Register!J10,Register!K10)</f>
        <v>105</v>
      </c>
      <c r="F13" s="35">
        <f>Register!G10/Settings!$B$6</f>
        <v>15</v>
      </c>
      <c r="G13" s="35">
        <f t="shared" si="0"/>
        <v>7</v>
      </c>
      <c r="H13" s="10">
        <f>ROUNDUP(F13*(D13+Settings!$B$8),0)</f>
        <v>75</v>
      </c>
      <c r="I13" s="16"/>
      <c r="J13" s="36">
        <f t="shared" si="1"/>
        <v>75</v>
      </c>
      <c r="K13" s="12" t="str">
        <f>IF(E13&lt;=0,"STOCK-OUT",IF(E13&lt;=J13,"REORDER NOW",IF(E13&lt;=J13*(1+Settings!$B$10),"APPROACHING","OK")))</f>
        <v>OK</v>
      </c>
      <c r="L13" s="36">
        <f>IF(OR(K13="STOCK-OUT",K13="REORDER NOW"),MAX(0,ROUNDUP(F13*Settings!$B$9-E13,0)),0)</f>
        <v>0</v>
      </c>
      <c r="M13" s="17">
        <f>Products!F10</f>
        <v>7600</v>
      </c>
      <c r="N13" s="21">
        <f t="shared" si="2"/>
        <v>0</v>
      </c>
      <c r="O13" s="37" t="str">
        <f t="shared" si="3"/>
        <v>████████████</v>
      </c>
    </row>
    <row r="14" spans="1:15" x14ac:dyDescent="0.25">
      <c r="A14" s="7" t="str">
        <f>Products!A11</f>
        <v>NDL002</v>
      </c>
      <c r="B14" s="7" t="str">
        <f>Products!B11</f>
        <v>Instant Noodles Onion 70g</v>
      </c>
      <c r="C14" s="7" t="str">
        <f>Products!D11</f>
        <v>Mushin Noodles &amp; Foods Ltd</v>
      </c>
      <c r="D14" s="34">
        <f>Products!H11</f>
        <v>3</v>
      </c>
      <c r="E14" s="10">
        <f>IF(Register!K11="",Register!J11,Register!K11)</f>
        <v>0</v>
      </c>
      <c r="F14" s="35">
        <f>Register!G11/Settings!$B$6</f>
        <v>9</v>
      </c>
      <c r="G14" s="35">
        <f t="shared" si="0"/>
        <v>0</v>
      </c>
      <c r="H14" s="10">
        <f>ROUNDUP(F14*(D14+Settings!$B$8),0)</f>
        <v>45</v>
      </c>
      <c r="I14" s="16"/>
      <c r="J14" s="36">
        <f t="shared" si="1"/>
        <v>45</v>
      </c>
      <c r="K14" s="12" t="str">
        <f>IF(E14&lt;=0,"STOCK-OUT",IF(E14&lt;=J14,"REORDER NOW",IF(E14&lt;=J14*(1+Settings!$B$10),"APPROACHING","OK")))</f>
        <v>STOCK-OUT</v>
      </c>
      <c r="L14" s="36">
        <f>IF(OR(K14="STOCK-OUT",K14="REORDER NOW"),MAX(0,ROUNDUP(F14*Settings!$B$9-E14,0)),0)</f>
        <v>126</v>
      </c>
      <c r="M14" s="17">
        <f>Products!F11</f>
        <v>7700</v>
      </c>
      <c r="N14" s="21">
        <f t="shared" si="2"/>
        <v>970200</v>
      </c>
      <c r="O14" s="37" t="str">
        <f t="shared" si="3"/>
        <v>███</v>
      </c>
    </row>
    <row r="15" spans="1:15" x14ac:dyDescent="0.25">
      <c r="A15" s="7" t="str">
        <f>Products!A12</f>
        <v>NDL003</v>
      </c>
      <c r="B15" s="7" t="str">
        <f>Products!B12</f>
        <v>Spaghetti 500g</v>
      </c>
      <c r="C15" s="7" t="str">
        <f>Products!D12</f>
        <v>Mushin Noodles &amp; Foods Ltd</v>
      </c>
      <c r="D15" s="34">
        <f>Products!H12</f>
        <v>3</v>
      </c>
      <c r="E15" s="10">
        <f>IF(Register!K12="",Register!J12,Register!K12)</f>
        <v>24</v>
      </c>
      <c r="F15" s="35">
        <f>Register!G12/Settings!$B$6</f>
        <v>2</v>
      </c>
      <c r="G15" s="35">
        <f t="shared" si="0"/>
        <v>12</v>
      </c>
      <c r="H15" s="10">
        <f>ROUNDUP(F15*(D15+Settings!$B$8),0)</f>
        <v>10</v>
      </c>
      <c r="I15" s="16"/>
      <c r="J15" s="36">
        <f t="shared" si="1"/>
        <v>10</v>
      </c>
      <c r="K15" s="12" t="str">
        <f>IF(E15&lt;=0,"STOCK-OUT",IF(E15&lt;=J15,"REORDER NOW",IF(E15&lt;=J15*(1+Settings!$B$10),"APPROACHING","OK")))</f>
        <v>OK</v>
      </c>
      <c r="L15" s="36">
        <f>IF(OR(K15="STOCK-OUT",K15="REORDER NOW"),MAX(0,ROUNDUP(F15*Settings!$B$9-E15,0)),0)</f>
        <v>0</v>
      </c>
      <c r="M15" s="17">
        <f>Products!F12</f>
        <v>11500</v>
      </c>
      <c r="N15" s="21">
        <f t="shared" si="2"/>
        <v>0</v>
      </c>
      <c r="O15" s="37" t="str">
        <f t="shared" si="3"/>
        <v>████████████</v>
      </c>
    </row>
    <row r="16" spans="1:15" x14ac:dyDescent="0.25">
      <c r="A16" s="7" t="str">
        <f>Products!A13</f>
        <v>OIL001</v>
      </c>
      <c r="B16" s="7" t="str">
        <f>Products!B13</f>
        <v>Vegetable Oil 5L</v>
      </c>
      <c r="C16" s="7" t="str">
        <f>Products!D13</f>
        <v>Ikorodu Oil Mills (Agent)</v>
      </c>
      <c r="D16" s="34">
        <f>Products!H13</f>
        <v>4</v>
      </c>
      <c r="E16" s="10">
        <f>IF(Register!K13="",Register!J13,Register!K13)</f>
        <v>21</v>
      </c>
      <c r="F16" s="35">
        <f>Register!G13/Settings!$B$6</f>
        <v>4</v>
      </c>
      <c r="G16" s="35">
        <f t="shared" si="0"/>
        <v>5.25</v>
      </c>
      <c r="H16" s="10">
        <f>ROUNDUP(F16*(D16+Settings!$B$8),0)</f>
        <v>24</v>
      </c>
      <c r="I16" s="16"/>
      <c r="J16" s="36">
        <f t="shared" si="1"/>
        <v>24</v>
      </c>
      <c r="K16" s="12" t="str">
        <f>IF(E16&lt;=0,"STOCK-OUT",IF(E16&lt;=J16,"REORDER NOW",IF(E16&lt;=J16*(1+Settings!$B$10),"APPROACHING","OK")))</f>
        <v>REORDER NOW</v>
      </c>
      <c r="L16" s="36">
        <f>IF(OR(K16="STOCK-OUT",K16="REORDER NOW"),MAX(0,ROUNDUP(F16*Settings!$B$9-E16,0)),0)</f>
        <v>35</v>
      </c>
      <c r="M16" s="17">
        <f>Products!F13</f>
        <v>38000</v>
      </c>
      <c r="N16" s="21">
        <f t="shared" si="2"/>
        <v>1330000</v>
      </c>
      <c r="O16" s="37" t="str">
        <f t="shared" si="3"/>
        <v>██████</v>
      </c>
    </row>
    <row r="17" spans="1:15" x14ac:dyDescent="0.25">
      <c r="A17" s="7" t="str">
        <f>Products!A14</f>
        <v>OIL002</v>
      </c>
      <c r="B17" s="7" t="str">
        <f>Products!B14</f>
        <v>Vegetable Oil 1L</v>
      </c>
      <c r="C17" s="7" t="str">
        <f>Products!D14</f>
        <v>Ikorodu Oil Mills (Agent)</v>
      </c>
      <c r="D17" s="34">
        <f>Products!H14</f>
        <v>4</v>
      </c>
      <c r="E17" s="10">
        <f>IF(Register!K14="",Register!J14,Register!K14)</f>
        <v>17</v>
      </c>
      <c r="F17" s="35">
        <f>Register!G14/Settings!$B$6</f>
        <v>1.6666666666666667</v>
      </c>
      <c r="G17" s="35">
        <f t="shared" si="0"/>
        <v>10.199999999999999</v>
      </c>
      <c r="H17" s="10">
        <f>ROUNDUP(F17*(D17+Settings!$B$8),0)</f>
        <v>10</v>
      </c>
      <c r="I17" s="16"/>
      <c r="J17" s="36">
        <f t="shared" si="1"/>
        <v>10</v>
      </c>
      <c r="K17" s="12" t="str">
        <f>IF(E17&lt;=0,"STOCK-OUT",IF(E17&lt;=J17,"REORDER NOW",IF(E17&lt;=J17*(1+Settings!$B$10),"APPROACHING","OK")))</f>
        <v>OK</v>
      </c>
      <c r="L17" s="36">
        <f>IF(OR(K17="STOCK-OUT",K17="REORDER NOW"),MAX(0,ROUNDUP(F17*Settings!$B$9-E17,0)),0)</f>
        <v>0</v>
      </c>
      <c r="M17" s="17">
        <f>Products!F14</f>
        <v>36000</v>
      </c>
      <c r="N17" s="21">
        <f t="shared" si="2"/>
        <v>0</v>
      </c>
      <c r="O17" s="37" t="str">
        <f t="shared" si="3"/>
        <v>████████████</v>
      </c>
    </row>
    <row r="18" spans="1:15" x14ac:dyDescent="0.25">
      <c r="A18" s="7" t="str">
        <f>Products!A15</f>
        <v>DET001</v>
      </c>
      <c r="B18" s="7" t="str">
        <f>Products!B15</f>
        <v>Detergent Powder 900g</v>
      </c>
      <c r="C18" s="7" t="str">
        <f>Products!D15</f>
        <v>Oshodi Home Care Supplies</v>
      </c>
      <c r="D18" s="34">
        <f>Products!H15</f>
        <v>3</v>
      </c>
      <c r="E18" s="10">
        <f>IF(Register!K15="",Register!J15,Register!K15)</f>
        <v>27</v>
      </c>
      <c r="F18" s="35">
        <f>Register!G15/Settings!$B$6</f>
        <v>5</v>
      </c>
      <c r="G18" s="35">
        <f t="shared" si="0"/>
        <v>5.4</v>
      </c>
      <c r="H18" s="10">
        <f>ROUNDUP(F18*(D18+Settings!$B$8),0)</f>
        <v>25</v>
      </c>
      <c r="I18" s="16"/>
      <c r="J18" s="36">
        <f t="shared" si="1"/>
        <v>25</v>
      </c>
      <c r="K18" s="12" t="str">
        <f>IF(E18&lt;=0,"STOCK-OUT",IF(E18&lt;=J18,"REORDER NOW",IF(E18&lt;=J18*(1+Settings!$B$10),"APPROACHING","OK")))</f>
        <v>APPROACHING</v>
      </c>
      <c r="L18" s="36">
        <f>IF(OR(K18="STOCK-OUT",K18="REORDER NOW"),MAX(0,ROUNDUP(F18*Settings!$B$9-E18,0)),0)</f>
        <v>0</v>
      </c>
      <c r="M18" s="17">
        <f>Products!F15</f>
        <v>14400</v>
      </c>
      <c r="N18" s="21">
        <f t="shared" si="2"/>
        <v>0</v>
      </c>
      <c r="O18" s="37" t="str">
        <f t="shared" si="3"/>
        <v>█████████</v>
      </c>
    </row>
    <row r="19" spans="1:15" x14ac:dyDescent="0.25">
      <c r="A19" s="7" t="str">
        <f>Products!A16</f>
        <v>DET002</v>
      </c>
      <c r="B19" s="7" t="str">
        <f>Products!B16</f>
        <v>Detergent Powder 400g</v>
      </c>
      <c r="C19" s="7" t="str">
        <f>Products!D16</f>
        <v>Oshodi Home Care Supplies</v>
      </c>
      <c r="D19" s="34">
        <f>Products!H16</f>
        <v>3</v>
      </c>
      <c r="E19" s="10">
        <f>IF(Register!K16="",Register!J16,Register!K16)</f>
        <v>30</v>
      </c>
      <c r="F19" s="35">
        <f>Register!G16/Settings!$B$6</f>
        <v>3.3333333333333335</v>
      </c>
      <c r="G19" s="35">
        <f t="shared" si="0"/>
        <v>9</v>
      </c>
      <c r="H19" s="10">
        <f>ROUNDUP(F19*(D19+Settings!$B$8),0)</f>
        <v>17</v>
      </c>
      <c r="I19" s="16"/>
      <c r="J19" s="36">
        <f t="shared" si="1"/>
        <v>17</v>
      </c>
      <c r="K19" s="12" t="str">
        <f>IF(E19&lt;=0,"STOCK-OUT",IF(E19&lt;=J19,"REORDER NOW",IF(E19&lt;=J19*(1+Settings!$B$10),"APPROACHING","OK")))</f>
        <v>OK</v>
      </c>
      <c r="L19" s="36">
        <f>IF(OR(K19="STOCK-OUT",K19="REORDER NOW"),MAX(0,ROUNDUP(F19*Settings!$B$9-E19,0)),0)</f>
        <v>0</v>
      </c>
      <c r="M19" s="17">
        <f>Products!F16</f>
        <v>17000</v>
      </c>
      <c r="N19" s="21">
        <f t="shared" si="2"/>
        <v>0</v>
      </c>
      <c r="O19" s="37" t="str">
        <f t="shared" si="3"/>
        <v>████████████</v>
      </c>
    </row>
    <row r="20" spans="1:15" x14ac:dyDescent="0.25">
      <c r="A20" s="7" t="str">
        <f>Products!A17</f>
        <v>DET003</v>
      </c>
      <c r="B20" s="7" t="str">
        <f>Products!B17</f>
        <v>Laundry Bar Soap</v>
      </c>
      <c r="C20" s="7" t="str">
        <f>Products!D17</f>
        <v>Oshodi Home Care Supplies</v>
      </c>
      <c r="D20" s="34">
        <f>Products!H17</f>
        <v>3</v>
      </c>
      <c r="E20" s="10">
        <f>IF(Register!K17="",Register!J17,Register!K17)</f>
        <v>28</v>
      </c>
      <c r="F20" s="35">
        <f>Register!G17/Settings!$B$6</f>
        <v>1.1666666666666667</v>
      </c>
      <c r="G20" s="35">
        <f t="shared" si="0"/>
        <v>24</v>
      </c>
      <c r="H20" s="10">
        <f>ROUNDUP(F20*(D20+Settings!$B$8),0)</f>
        <v>6</v>
      </c>
      <c r="I20" s="16"/>
      <c r="J20" s="36">
        <f t="shared" si="1"/>
        <v>6</v>
      </c>
      <c r="K20" s="12" t="str">
        <f>IF(E20&lt;=0,"STOCK-OUT",IF(E20&lt;=J20,"REORDER NOW",IF(E20&lt;=J20*(1+Settings!$B$10),"APPROACHING","OK")))</f>
        <v>OK</v>
      </c>
      <c r="L20" s="36">
        <f>IF(OR(K20="STOCK-OUT",K20="REORDER NOW"),MAX(0,ROUNDUP(F20*Settings!$B$9-E20,0)),0)</f>
        <v>0</v>
      </c>
      <c r="M20" s="17">
        <f>Products!F17</f>
        <v>9000</v>
      </c>
      <c r="N20" s="21">
        <f t="shared" si="2"/>
        <v>0</v>
      </c>
      <c r="O20" s="37" t="str">
        <f t="shared" si="3"/>
        <v>████████████</v>
      </c>
    </row>
    <row r="21" spans="1:15" x14ac:dyDescent="0.25">
      <c r="A21" s="7" t="str">
        <f>Products!A18</f>
        <v>FDS001</v>
      </c>
      <c r="B21" s="7" t="str">
        <f>Products!B18</f>
        <v>Evaporated Milk 160g Tin</v>
      </c>
      <c r="C21" s="7" t="str">
        <f>Products!D18</f>
        <v>Idumota Dry Goods Traders</v>
      </c>
      <c r="D21" s="34">
        <f>Products!H18</f>
        <v>5</v>
      </c>
      <c r="E21" s="10">
        <f>IF(Register!K18="",Register!J18,Register!K18)</f>
        <v>17</v>
      </c>
      <c r="F21" s="35">
        <f>Register!G18/Settings!$B$6</f>
        <v>3</v>
      </c>
      <c r="G21" s="35">
        <f t="shared" si="0"/>
        <v>5.666666666666667</v>
      </c>
      <c r="H21" s="10">
        <f>ROUNDUP(F21*(D21+Settings!$B$8),0)</f>
        <v>21</v>
      </c>
      <c r="I21" s="16"/>
      <c r="J21" s="36">
        <f t="shared" si="1"/>
        <v>21</v>
      </c>
      <c r="K21" s="12" t="str">
        <f>IF(E21&lt;=0,"STOCK-OUT",IF(E21&lt;=J21,"REORDER NOW",IF(E21&lt;=J21*(1+Settings!$B$10),"APPROACHING","OK")))</f>
        <v>REORDER NOW</v>
      </c>
      <c r="L21" s="36">
        <f>IF(OR(K21="STOCK-OUT",K21="REORDER NOW"),MAX(0,ROUNDUP(F21*Settings!$B$9-E21,0)),0)</f>
        <v>25</v>
      </c>
      <c r="M21" s="17">
        <f>Products!F18</f>
        <v>28000</v>
      </c>
      <c r="N21" s="21">
        <f t="shared" si="2"/>
        <v>700000</v>
      </c>
      <c r="O21" s="37" t="str">
        <f t="shared" si="3"/>
        <v>██████</v>
      </c>
    </row>
    <row r="22" spans="1:15" x14ac:dyDescent="0.25">
      <c r="A22" s="7" t="str">
        <f>Products!A19</f>
        <v>FDS002</v>
      </c>
      <c r="B22" s="7" t="str">
        <f>Products!B19</f>
        <v>Tomato Paste 70g Sachet</v>
      </c>
      <c r="C22" s="7" t="str">
        <f>Products!D19</f>
        <v>Idumota Dry Goods Traders</v>
      </c>
      <c r="D22" s="34">
        <f>Products!H19</f>
        <v>5</v>
      </c>
      <c r="E22" s="10">
        <f>IF(Register!K19="",Register!J19,Register!K19)</f>
        <v>36</v>
      </c>
      <c r="F22" s="35">
        <f>Register!G19/Settings!$B$6</f>
        <v>4.333333333333333</v>
      </c>
      <c r="G22" s="35">
        <f t="shared" si="0"/>
        <v>8.3076923076923084</v>
      </c>
      <c r="H22" s="10">
        <f>ROUNDUP(F22*(D22+Settings!$B$8),0)</f>
        <v>31</v>
      </c>
      <c r="I22" s="16"/>
      <c r="J22" s="36">
        <f t="shared" si="1"/>
        <v>31</v>
      </c>
      <c r="K22" s="12" t="str">
        <f>IF(E22&lt;=0,"STOCK-OUT",IF(E22&lt;=J22,"REORDER NOW",IF(E22&lt;=J22*(1+Settings!$B$10),"APPROACHING","OK")))</f>
        <v>APPROACHING</v>
      </c>
      <c r="L22" s="36">
        <f>IF(OR(K22="STOCK-OUT",K22="REORDER NOW"),MAX(0,ROUNDUP(F22*Settings!$B$9-E22,0)),0)</f>
        <v>0</v>
      </c>
      <c r="M22" s="17">
        <f>Products!F19</f>
        <v>15500</v>
      </c>
      <c r="N22" s="21">
        <f t="shared" si="2"/>
        <v>0</v>
      </c>
      <c r="O22" s="37" t="str">
        <f t="shared" si="3"/>
        <v>█████████</v>
      </c>
    </row>
    <row r="23" spans="1:15" x14ac:dyDescent="0.25">
      <c r="A23" s="7" t="str">
        <f>Products!A20</f>
        <v>FDS003</v>
      </c>
      <c r="B23" s="7" t="str">
        <f>Products!B20</f>
        <v>Seasoning Cubes</v>
      </c>
      <c r="C23" s="7" t="str">
        <f>Products!D20</f>
        <v>Idumota Dry Goods Traders</v>
      </c>
      <c r="D23" s="34">
        <f>Products!H20</f>
        <v>5</v>
      </c>
      <c r="E23" s="10">
        <f>IF(Register!K20="",Register!J20,Register!K20)</f>
        <v>35</v>
      </c>
      <c r="F23" s="35">
        <f>Register!G20/Settings!$B$6</f>
        <v>2.5</v>
      </c>
      <c r="G23" s="35">
        <f t="shared" si="0"/>
        <v>14</v>
      </c>
      <c r="H23" s="10">
        <f>ROUNDUP(F23*(D23+Settings!$B$8),0)</f>
        <v>18</v>
      </c>
      <c r="I23" s="16"/>
      <c r="J23" s="36">
        <f t="shared" si="1"/>
        <v>18</v>
      </c>
      <c r="K23" s="12" t="str">
        <f>IF(E23&lt;=0,"STOCK-OUT",IF(E23&lt;=J23,"REORDER NOW",IF(E23&lt;=J23*(1+Settings!$B$10),"APPROACHING","OK")))</f>
        <v>OK</v>
      </c>
      <c r="L23" s="36">
        <f>IF(OR(K23="STOCK-OUT",K23="REORDER NOW"),MAX(0,ROUNDUP(F23*Settings!$B$9-E23,0)),0)</f>
        <v>0</v>
      </c>
      <c r="M23" s="17">
        <f>Products!F20</f>
        <v>14000</v>
      </c>
      <c r="N23" s="21">
        <f t="shared" si="2"/>
        <v>0</v>
      </c>
      <c r="O23" s="37" t="str">
        <f t="shared" si="3"/>
        <v>████████████</v>
      </c>
    </row>
    <row r="24" spans="1:15" x14ac:dyDescent="0.25">
      <c r="A24" s="7" t="str">
        <f>Products!A21</f>
        <v>FDS004</v>
      </c>
      <c r="B24" s="7" t="str">
        <f>Products!B21</f>
        <v>Granulated Sugar 500g</v>
      </c>
      <c r="C24" s="7" t="str">
        <f>Products!D21</f>
        <v>Idumota Dry Goods Traders</v>
      </c>
      <c r="D24" s="34">
        <f>Products!H21</f>
        <v>5</v>
      </c>
      <c r="E24" s="10">
        <f>IF(Register!K21="",Register!J21,Register!K21)</f>
        <v>66</v>
      </c>
      <c r="F24" s="35">
        <f>Register!G21/Settings!$B$6</f>
        <v>5.5</v>
      </c>
      <c r="G24" s="35">
        <f t="shared" si="0"/>
        <v>12</v>
      </c>
      <c r="H24" s="10">
        <f>ROUNDUP(F24*(D24+Settings!$B$8),0)</f>
        <v>39</v>
      </c>
      <c r="I24" s="16"/>
      <c r="J24" s="36">
        <f t="shared" si="1"/>
        <v>39</v>
      </c>
      <c r="K24" s="12" t="str">
        <f>IF(E24&lt;=0,"STOCK-OUT",IF(E24&lt;=J24,"REORDER NOW",IF(E24&lt;=J24*(1+Settings!$B$10),"APPROACHING","OK")))</f>
        <v>OK</v>
      </c>
      <c r="L24" s="36">
        <f>IF(OR(K24="STOCK-OUT",K24="REORDER NOW"),MAX(0,ROUNDUP(F24*Settings!$B$9-E24,0)),0)</f>
        <v>0</v>
      </c>
      <c r="M24" s="17">
        <f>Products!F21</f>
        <v>17000</v>
      </c>
      <c r="N24" s="21">
        <f t="shared" si="2"/>
        <v>0</v>
      </c>
      <c r="O24" s="37" t="str">
        <f t="shared" si="3"/>
        <v>████████████</v>
      </c>
    </row>
    <row r="25" spans="1:15" x14ac:dyDescent="0.25">
      <c r="A25" s="7" t="str">
        <f>Products!A22</f>
        <v>FDS005</v>
      </c>
      <c r="B25" s="7" t="str">
        <f>Products!B22</f>
        <v>Table Salt 500g</v>
      </c>
      <c r="C25" s="7" t="str">
        <f>Products!D22</f>
        <v>Idumota Dry Goods Traders</v>
      </c>
      <c r="D25" s="34">
        <f>Products!H22</f>
        <v>5</v>
      </c>
      <c r="E25" s="10">
        <f>IF(Register!K22="",Register!J22,Register!K22)</f>
        <v>20</v>
      </c>
      <c r="F25" s="35">
        <f>Register!G22/Settings!$B$6</f>
        <v>0.66666666666666663</v>
      </c>
      <c r="G25" s="35">
        <f t="shared" si="0"/>
        <v>30</v>
      </c>
      <c r="H25" s="10">
        <f>ROUNDUP(F25*(D25+Settings!$B$8),0)</f>
        <v>5</v>
      </c>
      <c r="I25" s="16"/>
      <c r="J25" s="36">
        <f t="shared" si="1"/>
        <v>5</v>
      </c>
      <c r="K25" s="12" t="str">
        <f>IF(E25&lt;=0,"STOCK-OUT",IF(E25&lt;=J25,"REORDER NOW",IF(E25&lt;=J25*(1+Settings!$B$10),"APPROACHING","OK")))</f>
        <v>OK</v>
      </c>
      <c r="L25" s="36">
        <f>IF(OR(K25="STOCK-OUT",K25="REORDER NOW"),MAX(0,ROUNDUP(F25*Settings!$B$9-E25,0)),0)</f>
        <v>0</v>
      </c>
      <c r="M25" s="17">
        <f>Products!F22</f>
        <v>6500</v>
      </c>
      <c r="N25" s="21">
        <f t="shared" si="2"/>
        <v>0</v>
      </c>
      <c r="O25" s="37" t="str">
        <f t="shared" si="3"/>
        <v>████████████</v>
      </c>
    </row>
    <row r="26" spans="1:15" x14ac:dyDescent="0.25">
      <c r="A26" s="7" t="str">
        <f>Products!A23</f>
        <v>FDS006</v>
      </c>
      <c r="B26" s="7" t="str">
        <f>Products!B23</f>
        <v>Cocoa Beverage Powder 400g</v>
      </c>
      <c r="C26" s="7" t="str">
        <f>Products!D23</f>
        <v>Idumota Dry Goods Traders</v>
      </c>
      <c r="D26" s="34">
        <f>Products!H23</f>
        <v>5</v>
      </c>
      <c r="E26" s="10">
        <f>IF(Register!K23="",Register!J23,Register!K23)</f>
        <v>26</v>
      </c>
      <c r="F26" s="35">
        <f>Register!G23/Settings!$B$6</f>
        <v>1</v>
      </c>
      <c r="G26" s="35">
        <f t="shared" si="0"/>
        <v>26</v>
      </c>
      <c r="H26" s="10">
        <f>ROUNDUP(F26*(D26+Settings!$B$8),0)</f>
        <v>7</v>
      </c>
      <c r="I26" s="16"/>
      <c r="J26" s="36">
        <f t="shared" si="1"/>
        <v>7</v>
      </c>
      <c r="K26" s="12" t="str">
        <f>IF(E26&lt;=0,"STOCK-OUT",IF(E26&lt;=J26,"REORDER NOW",IF(E26&lt;=J26*(1+Settings!$B$10),"APPROACHING","OK")))</f>
        <v>OK</v>
      </c>
      <c r="L26" s="36">
        <f>IF(OR(K26="STOCK-OUT",K26="REORDER NOW"),MAX(0,ROUNDUP(F26*Settings!$B$9-E26,0)),0)</f>
        <v>0</v>
      </c>
      <c r="M26" s="17">
        <f>Products!F23</f>
        <v>21000</v>
      </c>
      <c r="N26" s="21">
        <f t="shared" si="2"/>
        <v>0</v>
      </c>
      <c r="O26" s="37" t="str">
        <f t="shared" si="3"/>
        <v>████████████</v>
      </c>
    </row>
    <row r="29" spans="1:15" x14ac:dyDescent="0.25">
      <c r="A29" s="18" t="s">
        <v>473</v>
      </c>
    </row>
    <row r="30" spans="1:15" ht="30" customHeight="1" x14ac:dyDescent="0.25">
      <c r="A30" s="4" t="s">
        <v>122</v>
      </c>
      <c r="B30" s="4"/>
      <c r="C30" s="9" t="s">
        <v>474</v>
      </c>
      <c r="D30" s="9" t="s">
        <v>475</v>
      </c>
      <c r="E30" s="9" t="s">
        <v>462</v>
      </c>
    </row>
    <row r="31" spans="1:15" x14ac:dyDescent="0.25">
      <c r="A31" s="3" t="s">
        <v>130</v>
      </c>
      <c r="B31" s="3"/>
      <c r="C31" s="34">
        <f>COUNTIFS($C$9:$C$26,$A31,$L$9:$L$26,"&gt;0")</f>
        <v>2</v>
      </c>
      <c r="D31" s="21">
        <f>SUMIFS($N$9:$N$26,$C$9:$C$26,$A31)</f>
        <v>977600</v>
      </c>
      <c r="E31" s="34">
        <f>IFERROR(INDEX(Products!$H$6:$H$60,MATCH($A31,Products!$D$6:$D$60,0)),"")</f>
        <v>2</v>
      </c>
    </row>
    <row r="32" spans="1:15" x14ac:dyDescent="0.25">
      <c r="A32" s="3" t="s">
        <v>143</v>
      </c>
      <c r="B32" s="3"/>
      <c r="C32" s="34">
        <f>COUNTIFS($C$9:$C$26,$A32,$L$9:$L$26,"&gt;0")</f>
        <v>1</v>
      </c>
      <c r="D32" s="21">
        <f>SUMIFS($N$9:$N$26,$C$9:$C$26,$A32)</f>
        <v>970200</v>
      </c>
      <c r="E32" s="34">
        <f>IFERROR(INDEX(Products!$H$6:$H$60,MATCH($A32,Products!$D$6:$D$60,0)),"")</f>
        <v>3</v>
      </c>
    </row>
    <row r="33" spans="1:5" x14ac:dyDescent="0.25">
      <c r="A33" s="3" t="s">
        <v>153</v>
      </c>
      <c r="B33" s="3"/>
      <c r="C33" s="34">
        <f>COUNTIFS($C$9:$C$26,$A33,$L$9:$L$26,"&gt;0")</f>
        <v>1</v>
      </c>
      <c r="D33" s="21">
        <f>SUMIFS($N$9:$N$26,$C$9:$C$26,$A33)</f>
        <v>1330000</v>
      </c>
      <c r="E33" s="34">
        <f>IFERROR(INDEX(Products!$H$6:$H$60,MATCH($A33,Products!$D$6:$D$60,0)),"")</f>
        <v>4</v>
      </c>
    </row>
    <row r="34" spans="1:5" x14ac:dyDescent="0.25">
      <c r="A34" s="3" t="s">
        <v>160</v>
      </c>
      <c r="B34" s="3"/>
      <c r="C34" s="34">
        <f>COUNTIFS($C$9:$C$26,$A34,$L$9:$L$26,"&gt;0")</f>
        <v>0</v>
      </c>
      <c r="D34" s="21">
        <f>SUMIFS($N$9:$N$26,$C$9:$C$26,$A34)</f>
        <v>0</v>
      </c>
      <c r="E34" s="34">
        <f>IFERROR(INDEX(Products!$H$6:$H$60,MATCH($A34,Products!$D$6:$D$60,0)),"")</f>
        <v>3</v>
      </c>
    </row>
    <row r="35" spans="1:5" x14ac:dyDescent="0.25">
      <c r="A35" s="3" t="s">
        <v>168</v>
      </c>
      <c r="B35" s="3"/>
      <c r="C35" s="34">
        <f>COUNTIFS($C$9:$C$26,$A35,$L$9:$L$26,"&gt;0")</f>
        <v>1</v>
      </c>
      <c r="D35" s="21">
        <f>SUMIFS($N$9:$N$26,$C$9:$C$26,$A35)</f>
        <v>700000</v>
      </c>
      <c r="E35" s="34">
        <f>IFERROR(INDEX(Products!$H$6:$H$60,MATCH($A35,Products!$D$6:$D$60,0)),"")</f>
        <v>5</v>
      </c>
    </row>
    <row r="36" spans="1:5" x14ac:dyDescent="0.25">
      <c r="A36" s="2" t="s">
        <v>454</v>
      </c>
      <c r="B36" s="2"/>
      <c r="C36" s="38">
        <f>SUM(C31:C35)</f>
        <v>5</v>
      </c>
      <c r="D36" s="27">
        <f>SUM(D31:D35)</f>
        <v>3977800</v>
      </c>
      <c r="E36" s="24"/>
    </row>
  </sheetData>
  <mergeCells count="7">
    <mergeCell ref="A35:B35"/>
    <mergeCell ref="A36:B36"/>
    <mergeCell ref="A30:B30"/>
    <mergeCell ref="A31:B31"/>
    <mergeCell ref="A32:B32"/>
    <mergeCell ref="A33:B33"/>
    <mergeCell ref="A34:B34"/>
  </mergeCells>
  <conditionalFormatting sqref="K9:K26">
    <cfRule type="expression" dxfId="16" priority="2">
      <formula>$K9="STOCK-OUT"</formula>
    </cfRule>
    <cfRule type="expression" dxfId="15" priority="3">
      <formula>$K9="REORDER NOW"</formula>
    </cfRule>
    <cfRule type="expression" dxfId="14" priority="4">
      <formula>$K9="APPROACHING"</formula>
    </cfRule>
    <cfRule type="expression" dxfId="13" priority="5">
      <formula>$K9="OK"</formula>
    </cfRule>
  </conditionalFormatting>
  <conditionalFormatting sqref="O9:O26">
    <cfRule type="expression" dxfId="12" priority="6">
      <formula>$K9="STOCK-OUT"</formula>
    </cfRule>
    <cfRule type="expression" dxfId="11" priority="7">
      <formula>$K9="REORDER NOW"</formula>
    </cfRule>
    <cfRule type="expression" dxfId="10" priority="8">
      <formula>$K9="APPROACHING"</formula>
    </cfRule>
    <cfRule type="expression" dxfId="9" priority="9">
      <formula>$K9="OK"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showGridLines="0" zoomScaleNormal="10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ColWidth="8.7109375" defaultRowHeight="15" x14ac:dyDescent="0.25"/>
  <cols>
    <col min="1" max="1" width="36" customWidth="1"/>
    <col min="2" max="2" width="30" customWidth="1"/>
    <col min="3" max="3" width="13" customWidth="1"/>
    <col min="4" max="4" width="14" customWidth="1"/>
    <col min="5" max="5" width="16" customWidth="1"/>
    <col min="6" max="6" width="11" customWidth="1"/>
    <col min="7" max="7" width="16" customWidth="1"/>
    <col min="8" max="8" width="10" customWidth="1"/>
    <col min="9" max="9" width="12" customWidth="1"/>
    <col min="10" max="10" width="10" customWidth="1"/>
    <col min="11" max="11" width="70" customWidth="1"/>
  </cols>
  <sheetData>
    <row r="1" spans="1:11" ht="18" x14ac:dyDescent="0.25">
      <c r="A1" s="5" t="s">
        <v>476</v>
      </c>
    </row>
    <row r="2" spans="1:11" x14ac:dyDescent="0.25">
      <c r="A2" s="6" t="s">
        <v>477</v>
      </c>
    </row>
    <row r="3" spans="1:11" x14ac:dyDescent="0.25">
      <c r="A3" s="18" t="str">
        <f>"Week: "&amp;TEXT(Settings!B5,"dd mmm yyyy")&amp;" to "&amp;TEXT(Settings!B7,"dd mmm yyyy")</f>
        <v>Week: 19 Oct 2026 to 24 Oct 2026</v>
      </c>
    </row>
    <row r="4" spans="1:11" x14ac:dyDescent="0.25">
      <c r="A4" s="7" t="s">
        <v>478</v>
      </c>
      <c r="B4" s="39">
        <f>COUNT(D15:D32)</f>
        <v>18</v>
      </c>
      <c r="C4" s="1" t="s">
        <v>479</v>
      </c>
      <c r="D4" s="1"/>
      <c r="E4" s="8">
        <f>SUMIF(G15:G32,"&lt;0")</f>
        <v>-112800</v>
      </c>
    </row>
    <row r="5" spans="1:11" x14ac:dyDescent="0.25">
      <c r="A5" s="7" t="s">
        <v>480</v>
      </c>
      <c r="B5" s="39">
        <f>COUNTIF(I15:I32,"Match")</f>
        <v>11</v>
      </c>
      <c r="C5" s="1" t="s">
        <v>481</v>
      </c>
      <c r="D5" s="1"/>
      <c r="E5" s="8">
        <f>SUMIF(G15:G32,"&gt;0")</f>
        <v>25900</v>
      </c>
    </row>
    <row r="6" spans="1:11" x14ac:dyDescent="0.25">
      <c r="A6" s="7" t="s">
        <v>482</v>
      </c>
      <c r="B6" s="39">
        <f>COUNTIF(I15:I32,"Shortage")</f>
        <v>5</v>
      </c>
      <c r="C6" s="1" t="s">
        <v>483</v>
      </c>
      <c r="D6" s="1"/>
      <c r="E6" s="8">
        <f>SUM(G15:G32)</f>
        <v>-86900</v>
      </c>
    </row>
    <row r="7" spans="1:11" x14ac:dyDescent="0.25">
      <c r="A7" s="7" t="s">
        <v>484</v>
      </c>
      <c r="B7" s="39">
        <f>COUNTIF(I15:I32,"Overage")</f>
        <v>2</v>
      </c>
      <c r="C7" s="1" t="s">
        <v>485</v>
      </c>
      <c r="D7" s="1"/>
      <c r="E7" s="8">
        <f>SUMPRODUCT(Register!I6:I23,Register!M6:M23)</f>
        <v>123300</v>
      </c>
    </row>
    <row r="8" spans="1:11" x14ac:dyDescent="0.25">
      <c r="A8" s="7" t="s">
        <v>76</v>
      </c>
      <c r="B8" s="40">
        <f>IFERROR(B5/B4,0)</f>
        <v>0.61111111111111116</v>
      </c>
      <c r="C8" s="1" t="s">
        <v>486</v>
      </c>
      <c r="D8" s="1"/>
      <c r="E8" s="8">
        <f>-E4+E7</f>
        <v>236100</v>
      </c>
    </row>
    <row r="9" spans="1:11" x14ac:dyDescent="0.25">
      <c r="A9" s="7" t="s">
        <v>487</v>
      </c>
      <c r="B9" s="39">
        <f>COUNTIF(J15:J32,"HIGH")</f>
        <v>5</v>
      </c>
      <c r="C9" s="1" t="s">
        <v>488</v>
      </c>
      <c r="D9" s="1"/>
      <c r="E9" s="40">
        <f>IFERROR(E8/'Weekly Report'!B11,0)</f>
        <v>3.6605786225929485E-2</v>
      </c>
    </row>
    <row r="14" spans="1:11" ht="36" customHeight="1" x14ac:dyDescent="0.25">
      <c r="A14" s="9" t="s">
        <v>119</v>
      </c>
      <c r="B14" s="9" t="s">
        <v>120</v>
      </c>
      <c r="C14" s="9" t="s">
        <v>489</v>
      </c>
      <c r="D14" s="9" t="s">
        <v>449</v>
      </c>
      <c r="E14" s="9" t="s">
        <v>450</v>
      </c>
      <c r="F14" s="9" t="s">
        <v>124</v>
      </c>
      <c r="G14" s="9" t="s">
        <v>451</v>
      </c>
      <c r="H14" s="9" t="s">
        <v>452</v>
      </c>
      <c r="I14" s="9" t="s">
        <v>490</v>
      </c>
      <c r="J14" s="9" t="s">
        <v>491</v>
      </c>
      <c r="K14" s="9" t="s">
        <v>492</v>
      </c>
    </row>
    <row r="15" spans="1:11" x14ac:dyDescent="0.25">
      <c r="A15" s="7" t="str">
        <f>Register!A6</f>
        <v>BEV001</v>
      </c>
      <c r="B15" s="7" t="str">
        <f>Register!B6</f>
        <v>Cola Soft Drink 50cl PET</v>
      </c>
      <c r="C15" s="10">
        <f>Register!J6</f>
        <v>27</v>
      </c>
      <c r="D15" s="10">
        <f>IF(Register!K6="","",Register!K6)</f>
        <v>25</v>
      </c>
      <c r="E15" s="41">
        <f>Register!L6</f>
        <v>-2</v>
      </c>
      <c r="F15" s="17">
        <f>Register!M6</f>
        <v>5200</v>
      </c>
      <c r="G15" s="21">
        <f>Register!N6</f>
        <v>-10400</v>
      </c>
      <c r="H15" s="42">
        <f>Register!O6</f>
        <v>-7.407407407407407E-2</v>
      </c>
      <c r="I15" s="12" t="str">
        <f>Register!P6</f>
        <v>Shortage</v>
      </c>
      <c r="J15" s="12" t="str">
        <f>IF(OR(I15="Match",I15="Not counted"),"-",IF(OR(ABS(G15)&gt;=Settings!$B$12,IF(H15="",0,ABS(H15))&gt;=Settings!$B$11),"HIGH","LOW"))</f>
        <v>HIGH</v>
      </c>
      <c r="K15" s="13" t="s">
        <v>493</v>
      </c>
    </row>
    <row r="16" spans="1:11" x14ac:dyDescent="0.25">
      <c r="A16" s="7" t="str">
        <f>Register!A7</f>
        <v>BEV002</v>
      </c>
      <c r="B16" s="7" t="str">
        <f>Register!B7</f>
        <v>Orange Soft Drink 50cl PET</v>
      </c>
      <c r="C16" s="10">
        <f>Register!J7</f>
        <v>25</v>
      </c>
      <c r="D16" s="10">
        <f>IF(Register!K7="","",Register!K7)</f>
        <v>25</v>
      </c>
      <c r="E16" s="41">
        <f>Register!L7</f>
        <v>0</v>
      </c>
      <c r="F16" s="17">
        <f>Register!M7</f>
        <v>5200</v>
      </c>
      <c r="G16" s="21">
        <f>Register!N7</f>
        <v>0</v>
      </c>
      <c r="H16" s="42">
        <f>Register!O7</f>
        <v>0</v>
      </c>
      <c r="I16" s="12" t="str">
        <f>Register!P7</f>
        <v>Match</v>
      </c>
      <c r="J16" s="12" t="str">
        <f>IF(OR(I16="Match",I16="Not counted"),"-",IF(OR(ABS(G16)&gt;=Settings!$B$12,IF(H16="",0,ABS(H16))&gt;=Settings!$B$11),"HIGH","LOW"))</f>
        <v>-</v>
      </c>
      <c r="K16" s="13"/>
    </row>
    <row r="17" spans="1:11" x14ac:dyDescent="0.25">
      <c r="A17" s="7" t="str">
        <f>Register!A8</f>
        <v>BEV003</v>
      </c>
      <c r="B17" s="7" t="str">
        <f>Register!B8</f>
        <v>Table Water 75cl</v>
      </c>
      <c r="C17" s="10">
        <f>Register!J8</f>
        <v>59</v>
      </c>
      <c r="D17" s="10">
        <f>IF(Register!K8="","",Register!K8)</f>
        <v>55</v>
      </c>
      <c r="E17" s="41">
        <f>Register!L8</f>
        <v>-4</v>
      </c>
      <c r="F17" s="17">
        <f>Register!M8</f>
        <v>1900</v>
      </c>
      <c r="G17" s="21">
        <f>Register!N8</f>
        <v>-7600</v>
      </c>
      <c r="H17" s="42">
        <f>Register!O8</f>
        <v>-6.7796610169491525E-2</v>
      </c>
      <c r="I17" s="12" t="str">
        <f>Register!P8</f>
        <v>Shortage</v>
      </c>
      <c r="J17" s="12" t="str">
        <f>IF(OR(I17="Match",I17="Not counted"),"-",IF(OR(ABS(G17)&gt;=Settings!$B$12,IF(H17="",0,ABS(H17))&gt;=Settings!$B$11),"HIGH","LOW"))</f>
        <v>HIGH</v>
      </c>
      <c r="K17" s="13" t="s">
        <v>494</v>
      </c>
    </row>
    <row r="18" spans="1:11" x14ac:dyDescent="0.25">
      <c r="A18" s="7" t="str">
        <f>Register!A9</f>
        <v>BEV004</v>
      </c>
      <c r="B18" s="7" t="str">
        <f>Register!B9</f>
        <v>Malt Drink 33cl Can</v>
      </c>
      <c r="C18" s="10">
        <f>Register!J9</f>
        <v>27</v>
      </c>
      <c r="D18" s="10">
        <f>IF(Register!K9="","",Register!K9)</f>
        <v>27</v>
      </c>
      <c r="E18" s="41">
        <f>Register!L9</f>
        <v>0</v>
      </c>
      <c r="F18" s="17">
        <f>Register!M9</f>
        <v>9800</v>
      </c>
      <c r="G18" s="21">
        <f>Register!N9</f>
        <v>0</v>
      </c>
      <c r="H18" s="42">
        <f>Register!O9</f>
        <v>0</v>
      </c>
      <c r="I18" s="12" t="str">
        <f>Register!P9</f>
        <v>Match</v>
      </c>
      <c r="J18" s="12" t="str">
        <f>IF(OR(I18="Match",I18="Not counted"),"-",IF(OR(ABS(G18)&gt;=Settings!$B$12,IF(H18="",0,ABS(H18))&gt;=Settings!$B$11),"HIGH","LOW"))</f>
        <v>-</v>
      </c>
      <c r="K18" s="13"/>
    </row>
    <row r="19" spans="1:11" x14ac:dyDescent="0.25">
      <c r="A19" s="7" t="str">
        <f>Register!A10</f>
        <v>NDL001</v>
      </c>
      <c r="B19" s="7" t="str">
        <f>Register!B10</f>
        <v>Instant Noodles Chicken 70g</v>
      </c>
      <c r="C19" s="10">
        <f>Register!J10</f>
        <v>108</v>
      </c>
      <c r="D19" s="10">
        <f>IF(Register!K10="","",Register!K10)</f>
        <v>105</v>
      </c>
      <c r="E19" s="41">
        <f>Register!L10</f>
        <v>-3</v>
      </c>
      <c r="F19" s="17">
        <f>Register!M10</f>
        <v>7600</v>
      </c>
      <c r="G19" s="21">
        <f>Register!N10</f>
        <v>-22800</v>
      </c>
      <c r="H19" s="42">
        <f>Register!O10</f>
        <v>-2.7777777777777776E-2</v>
      </c>
      <c r="I19" s="12" t="str">
        <f>Register!P10</f>
        <v>Shortage</v>
      </c>
      <c r="J19" s="12" t="str">
        <f>IF(OR(I19="Match",I19="Not counted"),"-",IF(OR(ABS(G19)&gt;=Settings!$B$12,IF(H19="",0,ABS(H19))&gt;=Settings!$B$11),"HIGH","LOW"))</f>
        <v>HIGH</v>
      </c>
      <c r="K19" s="13" t="s">
        <v>495</v>
      </c>
    </row>
    <row r="20" spans="1:11" x14ac:dyDescent="0.25">
      <c r="A20" s="7" t="str">
        <f>Register!A11</f>
        <v>NDL002</v>
      </c>
      <c r="B20" s="7" t="str">
        <f>Register!B11</f>
        <v>Instant Noodles Onion 70g</v>
      </c>
      <c r="C20" s="10">
        <f>Register!J11</f>
        <v>0</v>
      </c>
      <c r="D20" s="10">
        <f>IF(Register!K11="","",Register!K11)</f>
        <v>0</v>
      </c>
      <c r="E20" s="41">
        <f>Register!L11</f>
        <v>0</v>
      </c>
      <c r="F20" s="17">
        <f>Register!M11</f>
        <v>7700</v>
      </c>
      <c r="G20" s="21">
        <f>Register!N11</f>
        <v>0</v>
      </c>
      <c r="H20" s="42" t="str">
        <f>Register!O11</f>
        <v/>
      </c>
      <c r="I20" s="12" t="str">
        <f>Register!P11</f>
        <v>Match</v>
      </c>
      <c r="J20" s="12" t="str">
        <f>IF(OR(I20="Match",I20="Not counted"),"-",IF(OR(ABS(G20)&gt;=Settings!$B$12,IF(H20="",0,ABS(H20))&gt;=Settings!$B$11),"HIGH","LOW"))</f>
        <v>-</v>
      </c>
      <c r="K20" s="13"/>
    </row>
    <row r="21" spans="1:11" x14ac:dyDescent="0.25">
      <c r="A21" s="7" t="str">
        <f>Register!A12</f>
        <v>NDL003</v>
      </c>
      <c r="B21" s="7" t="str">
        <f>Register!B12</f>
        <v>Spaghetti 500g</v>
      </c>
      <c r="C21" s="10">
        <f>Register!J12</f>
        <v>23</v>
      </c>
      <c r="D21" s="10">
        <f>IF(Register!K12="","",Register!K12)</f>
        <v>24</v>
      </c>
      <c r="E21" s="41">
        <f>Register!L12</f>
        <v>1</v>
      </c>
      <c r="F21" s="17">
        <f>Register!M12</f>
        <v>11500</v>
      </c>
      <c r="G21" s="21">
        <f>Register!N12</f>
        <v>11500</v>
      </c>
      <c r="H21" s="42">
        <f>Register!O12</f>
        <v>4.3478260869565216E-2</v>
      </c>
      <c r="I21" s="12" t="str">
        <f>Register!P12</f>
        <v>Overage</v>
      </c>
      <c r="J21" s="12" t="str">
        <f>IF(OR(I21="Match",I21="Not counted"),"-",IF(OR(ABS(G21)&gt;=Settings!$B$12,IF(H21="",0,ABS(H21))&gt;=Settings!$B$11),"HIGH","LOW"))</f>
        <v>LOW</v>
      </c>
      <c r="K21" s="13" t="s">
        <v>496</v>
      </c>
    </row>
    <row r="22" spans="1:11" x14ac:dyDescent="0.25">
      <c r="A22" s="7" t="str">
        <f>Register!A13</f>
        <v>OIL001</v>
      </c>
      <c r="B22" s="7" t="str">
        <f>Register!B13</f>
        <v>Vegetable Oil 5L</v>
      </c>
      <c r="C22" s="10">
        <f>Register!J13</f>
        <v>22</v>
      </c>
      <c r="D22" s="10">
        <f>IF(Register!K13="","",Register!K13)</f>
        <v>21</v>
      </c>
      <c r="E22" s="41">
        <f>Register!L13</f>
        <v>-1</v>
      </c>
      <c r="F22" s="17">
        <f>Register!M13</f>
        <v>38000</v>
      </c>
      <c r="G22" s="21">
        <f>Register!N13</f>
        <v>-38000</v>
      </c>
      <c r="H22" s="42">
        <f>Register!O13</f>
        <v>-4.5454545454545456E-2</v>
      </c>
      <c r="I22" s="12" t="str">
        <f>Register!P13</f>
        <v>Shortage</v>
      </c>
      <c r="J22" s="12" t="str">
        <f>IF(OR(I22="Match",I22="Not counted"),"-",IF(OR(ABS(G22)&gt;=Settings!$B$12,IF(H22="",0,ABS(H22))&gt;=Settings!$B$11),"HIGH","LOW"))</f>
        <v>HIGH</v>
      </c>
      <c r="K22" s="13" t="s">
        <v>497</v>
      </c>
    </row>
    <row r="23" spans="1:11" x14ac:dyDescent="0.25">
      <c r="A23" s="7" t="str">
        <f>Register!A14</f>
        <v>OIL002</v>
      </c>
      <c r="B23" s="7" t="str">
        <f>Register!B14</f>
        <v>Vegetable Oil 1L</v>
      </c>
      <c r="C23" s="10">
        <f>Register!J14</f>
        <v>17</v>
      </c>
      <c r="D23" s="10">
        <f>IF(Register!K14="","",Register!K14)</f>
        <v>17</v>
      </c>
      <c r="E23" s="41">
        <f>Register!L14</f>
        <v>0</v>
      </c>
      <c r="F23" s="17">
        <f>Register!M14</f>
        <v>36000</v>
      </c>
      <c r="G23" s="21">
        <f>Register!N14</f>
        <v>0</v>
      </c>
      <c r="H23" s="42">
        <f>Register!O14</f>
        <v>0</v>
      </c>
      <c r="I23" s="12" t="str">
        <f>Register!P14</f>
        <v>Match</v>
      </c>
      <c r="J23" s="12" t="str">
        <f>IF(OR(I23="Match",I23="Not counted"),"-",IF(OR(ABS(G23)&gt;=Settings!$B$12,IF(H23="",0,ABS(H23))&gt;=Settings!$B$11),"HIGH","LOW"))</f>
        <v>-</v>
      </c>
      <c r="K23" s="13"/>
    </row>
    <row r="24" spans="1:11" x14ac:dyDescent="0.25">
      <c r="A24" s="7" t="str">
        <f>Register!A15</f>
        <v>DET001</v>
      </c>
      <c r="B24" s="7" t="str">
        <f>Register!B15</f>
        <v>Detergent Powder 900g</v>
      </c>
      <c r="C24" s="10">
        <f>Register!J15</f>
        <v>26</v>
      </c>
      <c r="D24" s="10">
        <f>IF(Register!K15="","",Register!K15)</f>
        <v>27</v>
      </c>
      <c r="E24" s="41">
        <f>Register!L15</f>
        <v>1</v>
      </c>
      <c r="F24" s="17">
        <f>Register!M15</f>
        <v>14400</v>
      </c>
      <c r="G24" s="21">
        <f>Register!N15</f>
        <v>14400</v>
      </c>
      <c r="H24" s="42">
        <f>Register!O15</f>
        <v>3.8461538461538464E-2</v>
      </c>
      <c r="I24" s="12" t="str">
        <f>Register!P15</f>
        <v>Overage</v>
      </c>
      <c r="J24" s="12" t="str">
        <f>IF(OR(I24="Match",I24="Not counted"),"-",IF(OR(ABS(G24)&gt;=Settings!$B$12,IF(H24="",0,ABS(H24))&gt;=Settings!$B$11),"HIGH","LOW"))</f>
        <v>LOW</v>
      </c>
      <c r="K24" s="13" t="s">
        <v>498</v>
      </c>
    </row>
    <row r="25" spans="1:11" x14ac:dyDescent="0.25">
      <c r="A25" s="7" t="str">
        <f>Register!A16</f>
        <v>DET002</v>
      </c>
      <c r="B25" s="7" t="str">
        <f>Register!B16</f>
        <v>Detergent Powder 400g</v>
      </c>
      <c r="C25" s="10">
        <f>Register!J16</f>
        <v>30</v>
      </c>
      <c r="D25" s="10">
        <f>IF(Register!K16="","",Register!K16)</f>
        <v>30</v>
      </c>
      <c r="E25" s="41">
        <f>Register!L16</f>
        <v>0</v>
      </c>
      <c r="F25" s="17">
        <f>Register!M16</f>
        <v>17000</v>
      </c>
      <c r="G25" s="21">
        <f>Register!N16</f>
        <v>0</v>
      </c>
      <c r="H25" s="42">
        <f>Register!O16</f>
        <v>0</v>
      </c>
      <c r="I25" s="12" t="str">
        <f>Register!P16</f>
        <v>Match</v>
      </c>
      <c r="J25" s="12" t="str">
        <f>IF(OR(I25="Match",I25="Not counted"),"-",IF(OR(ABS(G25)&gt;=Settings!$B$12,IF(H25="",0,ABS(H25))&gt;=Settings!$B$11),"HIGH","LOW"))</f>
        <v>-</v>
      </c>
      <c r="K25" s="13"/>
    </row>
    <row r="26" spans="1:11" x14ac:dyDescent="0.25">
      <c r="A26" s="7" t="str">
        <f>Register!A17</f>
        <v>DET003</v>
      </c>
      <c r="B26" s="7" t="str">
        <f>Register!B17</f>
        <v>Laundry Bar Soap</v>
      </c>
      <c r="C26" s="10">
        <f>Register!J17</f>
        <v>28</v>
      </c>
      <c r="D26" s="10">
        <f>IF(Register!K17="","",Register!K17)</f>
        <v>28</v>
      </c>
      <c r="E26" s="41">
        <f>Register!L17</f>
        <v>0</v>
      </c>
      <c r="F26" s="17">
        <f>Register!M17</f>
        <v>9000</v>
      </c>
      <c r="G26" s="21">
        <f>Register!N17</f>
        <v>0</v>
      </c>
      <c r="H26" s="42">
        <f>Register!O17</f>
        <v>0</v>
      </c>
      <c r="I26" s="12" t="str">
        <f>Register!P17</f>
        <v>Match</v>
      </c>
      <c r="J26" s="12" t="str">
        <f>IF(OR(I26="Match",I26="Not counted"),"-",IF(OR(ABS(G26)&gt;=Settings!$B$12,IF(H26="",0,ABS(H26))&gt;=Settings!$B$11),"HIGH","LOW"))</f>
        <v>-</v>
      </c>
      <c r="K26" s="13"/>
    </row>
    <row r="27" spans="1:11" x14ac:dyDescent="0.25">
      <c r="A27" s="7" t="str">
        <f>Register!A18</f>
        <v>FDS001</v>
      </c>
      <c r="B27" s="7" t="str">
        <f>Register!B18</f>
        <v>Evaporated Milk 160g Tin</v>
      </c>
      <c r="C27" s="10">
        <f>Register!J18</f>
        <v>17</v>
      </c>
      <c r="D27" s="10">
        <f>IF(Register!K18="","",Register!K18)</f>
        <v>17</v>
      </c>
      <c r="E27" s="41">
        <f>Register!L18</f>
        <v>0</v>
      </c>
      <c r="F27" s="17">
        <f>Register!M18</f>
        <v>28000</v>
      </c>
      <c r="G27" s="21">
        <f>Register!N18</f>
        <v>0</v>
      </c>
      <c r="H27" s="42">
        <f>Register!O18</f>
        <v>0</v>
      </c>
      <c r="I27" s="12" t="str">
        <f>Register!P18</f>
        <v>Match</v>
      </c>
      <c r="J27" s="12" t="str">
        <f>IF(OR(I27="Match",I27="Not counted"),"-",IF(OR(ABS(G27)&gt;=Settings!$B$12,IF(H27="",0,ABS(H27))&gt;=Settings!$B$11),"HIGH","LOW"))</f>
        <v>-</v>
      </c>
      <c r="K27" s="13"/>
    </row>
    <row r="28" spans="1:11" x14ac:dyDescent="0.25">
      <c r="A28" s="7" t="str">
        <f>Register!A19</f>
        <v>FDS002</v>
      </c>
      <c r="B28" s="7" t="str">
        <f>Register!B19</f>
        <v>Tomato Paste 70g Sachet</v>
      </c>
      <c r="C28" s="10">
        <f>Register!J19</f>
        <v>36</v>
      </c>
      <c r="D28" s="10">
        <f>IF(Register!K19="","",Register!K19)</f>
        <v>36</v>
      </c>
      <c r="E28" s="41">
        <f>Register!L19</f>
        <v>0</v>
      </c>
      <c r="F28" s="17">
        <f>Register!M19</f>
        <v>15500</v>
      </c>
      <c r="G28" s="21">
        <f>Register!N19</f>
        <v>0</v>
      </c>
      <c r="H28" s="42">
        <f>Register!O19</f>
        <v>0</v>
      </c>
      <c r="I28" s="12" t="str">
        <f>Register!P19</f>
        <v>Match</v>
      </c>
      <c r="J28" s="12" t="str">
        <f>IF(OR(I28="Match",I28="Not counted"),"-",IF(OR(ABS(G28)&gt;=Settings!$B$12,IF(H28="",0,ABS(H28))&gt;=Settings!$B$11),"HIGH","LOW"))</f>
        <v>-</v>
      </c>
      <c r="K28" s="13"/>
    </row>
    <row r="29" spans="1:11" x14ac:dyDescent="0.25">
      <c r="A29" s="7" t="str">
        <f>Register!A20</f>
        <v>FDS003</v>
      </c>
      <c r="B29" s="7" t="str">
        <f>Register!B20</f>
        <v>Seasoning Cubes</v>
      </c>
      <c r="C29" s="10">
        <f>Register!J20</f>
        <v>35</v>
      </c>
      <c r="D29" s="10">
        <f>IF(Register!K20="","",Register!K20)</f>
        <v>35</v>
      </c>
      <c r="E29" s="41">
        <f>Register!L20</f>
        <v>0</v>
      </c>
      <c r="F29" s="17">
        <f>Register!M20</f>
        <v>14000</v>
      </c>
      <c r="G29" s="21">
        <f>Register!N20</f>
        <v>0</v>
      </c>
      <c r="H29" s="42">
        <f>Register!O20</f>
        <v>0</v>
      </c>
      <c r="I29" s="12" t="str">
        <f>Register!P20</f>
        <v>Match</v>
      </c>
      <c r="J29" s="12" t="str">
        <f>IF(OR(I29="Match",I29="Not counted"),"-",IF(OR(ABS(G29)&gt;=Settings!$B$12,IF(H29="",0,ABS(H29))&gt;=Settings!$B$11),"HIGH","LOW"))</f>
        <v>-</v>
      </c>
      <c r="K29" s="13"/>
    </row>
    <row r="30" spans="1:11" x14ac:dyDescent="0.25">
      <c r="A30" s="7" t="str">
        <f>Register!A21</f>
        <v>FDS004</v>
      </c>
      <c r="B30" s="7" t="str">
        <f>Register!B21</f>
        <v>Granulated Sugar 500g</v>
      </c>
      <c r="C30" s="10">
        <f>Register!J21</f>
        <v>68</v>
      </c>
      <c r="D30" s="10">
        <f>IF(Register!K21="","",Register!K21)</f>
        <v>66</v>
      </c>
      <c r="E30" s="41">
        <f>Register!L21</f>
        <v>-2</v>
      </c>
      <c r="F30" s="17">
        <f>Register!M21</f>
        <v>17000</v>
      </c>
      <c r="G30" s="21">
        <f>Register!N21</f>
        <v>-34000</v>
      </c>
      <c r="H30" s="42">
        <f>Register!O21</f>
        <v>-2.9411764705882353E-2</v>
      </c>
      <c r="I30" s="12" t="str">
        <f>Register!P21</f>
        <v>Shortage</v>
      </c>
      <c r="J30" s="12" t="str">
        <f>IF(OR(I30="Match",I30="Not counted"),"-",IF(OR(ABS(G30)&gt;=Settings!$B$12,IF(H30="",0,ABS(H30))&gt;=Settings!$B$11),"HIGH","LOW"))</f>
        <v>HIGH</v>
      </c>
      <c r="K30" s="13" t="s">
        <v>499</v>
      </c>
    </row>
    <row r="31" spans="1:11" x14ac:dyDescent="0.25">
      <c r="A31" s="7" t="str">
        <f>Register!A22</f>
        <v>FDS005</v>
      </c>
      <c r="B31" s="7" t="str">
        <f>Register!B22</f>
        <v>Table Salt 500g</v>
      </c>
      <c r="C31" s="10">
        <f>Register!J22</f>
        <v>20</v>
      </c>
      <c r="D31" s="10">
        <f>IF(Register!K22="","",Register!K22)</f>
        <v>20</v>
      </c>
      <c r="E31" s="41">
        <f>Register!L22</f>
        <v>0</v>
      </c>
      <c r="F31" s="17">
        <f>Register!M22</f>
        <v>6500</v>
      </c>
      <c r="G31" s="21">
        <f>Register!N22</f>
        <v>0</v>
      </c>
      <c r="H31" s="42">
        <f>Register!O22</f>
        <v>0</v>
      </c>
      <c r="I31" s="12" t="str">
        <f>Register!P22</f>
        <v>Match</v>
      </c>
      <c r="J31" s="12" t="str">
        <f>IF(OR(I31="Match",I31="Not counted"),"-",IF(OR(ABS(G31)&gt;=Settings!$B$12,IF(H31="",0,ABS(H31))&gt;=Settings!$B$11),"HIGH","LOW"))</f>
        <v>-</v>
      </c>
      <c r="K31" s="13"/>
    </row>
    <row r="32" spans="1:11" x14ac:dyDescent="0.25">
      <c r="A32" s="7" t="str">
        <f>Register!A23</f>
        <v>FDS006</v>
      </c>
      <c r="B32" s="7" t="str">
        <f>Register!B23</f>
        <v>Cocoa Beverage Powder 400g</v>
      </c>
      <c r="C32" s="10">
        <f>Register!J23</f>
        <v>26</v>
      </c>
      <c r="D32" s="10">
        <f>IF(Register!K23="","",Register!K23)</f>
        <v>26</v>
      </c>
      <c r="E32" s="41">
        <f>Register!L23</f>
        <v>0</v>
      </c>
      <c r="F32" s="17">
        <f>Register!M23</f>
        <v>21000</v>
      </c>
      <c r="G32" s="21">
        <f>Register!N23</f>
        <v>0</v>
      </c>
      <c r="H32" s="42">
        <f>Register!O23</f>
        <v>0</v>
      </c>
      <c r="I32" s="12" t="str">
        <f>Register!P23</f>
        <v>Match</v>
      </c>
      <c r="J32" s="12" t="str">
        <f>IF(OR(I32="Match",I32="Not counted"),"-",IF(OR(ABS(G32)&gt;=Settings!$B$12,IF(H32="",0,ABS(H32))&gt;=Settings!$B$11),"HIGH","LOW"))</f>
        <v>-</v>
      </c>
      <c r="K32" s="13"/>
    </row>
    <row r="33" spans="1:11" x14ac:dyDescent="0.25">
      <c r="A33" s="23" t="s">
        <v>454</v>
      </c>
      <c r="B33" s="24"/>
      <c r="C33" s="43">
        <f>SUM(C15:C32)</f>
        <v>594</v>
      </c>
      <c r="D33" s="43">
        <f>SUM(D15:D32)</f>
        <v>584</v>
      </c>
      <c r="E33" s="44">
        <f>SUM(E15:E32)</f>
        <v>-10</v>
      </c>
      <c r="F33" s="24"/>
      <c r="G33" s="27">
        <f>SUM(G15:G32)</f>
        <v>-86900</v>
      </c>
      <c r="H33" s="24"/>
      <c r="I33" s="24"/>
      <c r="J33" s="24"/>
      <c r="K33" s="24"/>
    </row>
  </sheetData>
  <mergeCells count="6">
    <mergeCell ref="C9:D9"/>
    <mergeCell ref="C4:D4"/>
    <mergeCell ref="C5:D5"/>
    <mergeCell ref="C6:D6"/>
    <mergeCell ref="C7:D7"/>
    <mergeCell ref="C8:D8"/>
  </mergeCells>
  <conditionalFormatting sqref="I15:I32">
    <cfRule type="expression" dxfId="8" priority="2">
      <formula>I15="Shortage"</formula>
    </cfRule>
    <cfRule type="expression" dxfId="7" priority="3">
      <formula>I15="Overage"</formula>
    </cfRule>
    <cfRule type="expression" dxfId="6" priority="4">
      <formula>I15="Match"</formula>
    </cfRule>
    <cfRule type="expression" dxfId="5" priority="5">
      <formula>I15="Not counted"</formula>
    </cfRule>
  </conditionalFormatting>
  <conditionalFormatting sqref="J15:J32">
    <cfRule type="expression" dxfId="4" priority="6">
      <formula>J15="HIGH"</formula>
    </cfRule>
    <cfRule type="expression" dxfId="3" priority="7">
      <formula>J15="LOW"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7109375" defaultRowHeight="15" x14ac:dyDescent="0.25"/>
  <cols>
    <col min="1" max="1" width="11" customWidth="1"/>
    <col min="2" max="2" width="13" customWidth="1"/>
    <col min="3" max="3" width="30" customWidth="1"/>
    <col min="4" max="4" width="11" customWidth="1"/>
    <col min="5" max="5" width="12" customWidth="1"/>
    <col min="6" max="6" width="16" customWidth="1"/>
    <col min="7" max="7" width="11" customWidth="1"/>
    <col min="8" max="9" width="12" customWidth="1"/>
    <col min="10" max="10" width="13" customWidth="1"/>
    <col min="11" max="11" width="15" customWidth="1"/>
    <col min="12" max="12" width="14" customWidth="1"/>
  </cols>
  <sheetData>
    <row r="1" spans="1:12" ht="18" x14ac:dyDescent="0.25">
      <c r="A1" s="5" t="s">
        <v>500</v>
      </c>
    </row>
    <row r="2" spans="1:12" x14ac:dyDescent="0.25">
      <c r="A2" s="6" t="s">
        <v>501</v>
      </c>
    </row>
    <row r="3" spans="1:12" x14ac:dyDescent="0.25">
      <c r="A3" s="18" t="str">
        <f>"Fast-moving: weekly turnover ≥ "&amp;TEXT(Settings!B13,"0.00")&amp;"   |   Slow-moving: weekly turnover &lt; "&amp;TEXT(Settings!B14,"0.00")&amp;"   |   Medium: in between"</f>
        <v>Fast-moving: weekly turnover ≥ 1.00   |   Slow-moving: weekly turnover &lt; 0.50   |   Medium: in between</v>
      </c>
    </row>
    <row r="5" spans="1:12" ht="43.5" customHeight="1" x14ac:dyDescent="0.25">
      <c r="A5" s="9" t="s">
        <v>502</v>
      </c>
      <c r="B5" s="9" t="s">
        <v>119</v>
      </c>
      <c r="C5" s="9" t="s">
        <v>120</v>
      </c>
      <c r="D5" s="9" t="s">
        <v>85</v>
      </c>
      <c r="E5" s="9" t="s">
        <v>503</v>
      </c>
      <c r="F5" s="9" t="s">
        <v>504</v>
      </c>
      <c r="G5" s="9" t="s">
        <v>505</v>
      </c>
      <c r="H5" s="9" t="s">
        <v>506</v>
      </c>
      <c r="I5" s="9" t="s">
        <v>507</v>
      </c>
      <c r="J5" s="9" t="s">
        <v>508</v>
      </c>
      <c r="K5" s="9" t="s">
        <v>52</v>
      </c>
      <c r="L5" s="9" t="s">
        <v>509</v>
      </c>
    </row>
    <row r="6" spans="1:12" x14ac:dyDescent="0.25">
      <c r="A6" s="34">
        <f>RANK(D6,$D$6:$D$23,0)+COUNTIF($D$6:D6,D6)-1</f>
        <v>1</v>
      </c>
      <c r="B6" s="15" t="s">
        <v>140</v>
      </c>
      <c r="C6" s="7" t="str">
        <f>INDEX(Register!$B$6:$B$23,MATCH(B6,Register!$A$6:$A$23,0))</f>
        <v>Instant Noodles Chicken 70g</v>
      </c>
      <c r="D6" s="10">
        <f>INDEX(Register!$G$6:$G$23,MATCH(B6,Register!$A$6:$A$23,0))</f>
        <v>90</v>
      </c>
      <c r="E6" s="45">
        <f t="shared" ref="E6:E23" si="0">IFERROR(D6/SUM($D$6:$D$23),0)</f>
        <v>0.16917293233082706</v>
      </c>
      <c r="F6" s="21">
        <f>SUMIFS(Transactions!$K$6:$K$1000,Transactions!$C$6:$C$1000,B6,Transactions!$F$6:$F$1000,"Sale",Transactions!$A$6:$A$1000,"&gt;="&amp;Settings!$B$5,Transactions!$A$6:$A$1000,"&lt;="&amp;Settings!$B$7)</f>
        <v>756000</v>
      </c>
      <c r="G6" s="35">
        <f>(INDEX(Register!$D$6:$D$23,MATCH(B6,Register!$A$6:$A$23,0))+INDEX('Reorder Dashboard'!$E$9:$E$26,MATCH(B6,'Reorder Dashboard'!$A$9:$A$26,0)))/2</f>
        <v>111.5</v>
      </c>
      <c r="H6" s="11">
        <f t="shared" ref="H6:H23" si="1">IF(G6=0,0,D6/G6)</f>
        <v>0.80717488789237668</v>
      </c>
      <c r="I6" s="35">
        <f t="shared" ref="I6:I23" si="2">H6*52</f>
        <v>41.973094170403584</v>
      </c>
      <c r="J6" s="35">
        <f>IF(D6=0,"n/a",G6/(D6/Settings!$B$6))</f>
        <v>7.4333333333333336</v>
      </c>
      <c r="K6" s="12" t="str">
        <f>IF(H6&gt;=Settings!$B$13,"Fast-moving",IF(H6&lt;Settings!$B$14,"Slow-moving","Medium"))</f>
        <v>Medium</v>
      </c>
      <c r="L6" s="34">
        <f>RANK(H6,$H$6:$H$23,1)+COUNTIF($H$6:H6,H6)-1</f>
        <v>11</v>
      </c>
    </row>
    <row r="7" spans="1:12" x14ac:dyDescent="0.25">
      <c r="A7" s="34">
        <f>RANK(D7,$D$6:$D$23,0)+COUNTIF($D$6:D7,D7)-1</f>
        <v>2</v>
      </c>
      <c r="B7" s="15" t="s">
        <v>134</v>
      </c>
      <c r="C7" s="7" t="str">
        <f>INDEX(Register!$B$6:$B$23,MATCH(B7,Register!$A$6:$A$23,0))</f>
        <v>Table Water 75cl</v>
      </c>
      <c r="D7" s="10">
        <f>INDEX(Register!$G$6:$G$23,MATCH(B7,Register!$A$6:$A$23,0))</f>
        <v>72</v>
      </c>
      <c r="E7" s="45">
        <f t="shared" si="0"/>
        <v>0.13533834586466165</v>
      </c>
      <c r="F7" s="21">
        <f>SUMIFS(Transactions!$K$6:$K$1000,Transactions!$C$6:$C$1000,B7,Transactions!$F$6:$F$1000,"Sale",Transactions!$A$6:$A$1000,"&gt;="&amp;Settings!$B$5,Transactions!$A$6:$A$1000,"&lt;="&amp;Settings!$B$7)</f>
        <v>165600</v>
      </c>
      <c r="G7" s="35">
        <f>(INDEX(Register!$D$6:$D$23,MATCH(B7,Register!$A$6:$A$23,0))+INDEX('Reorder Dashboard'!$E$9:$E$26,MATCH(B7,'Reorder Dashboard'!$A$9:$A$26,0)))/2</f>
        <v>59.5</v>
      </c>
      <c r="H7" s="11">
        <f t="shared" si="1"/>
        <v>1.2100840336134453</v>
      </c>
      <c r="I7" s="35">
        <f t="shared" si="2"/>
        <v>62.924369747899156</v>
      </c>
      <c r="J7" s="35">
        <f>IF(D7=0,"n/a",G7/(D7/Settings!$B$6))</f>
        <v>4.958333333333333</v>
      </c>
      <c r="K7" s="12" t="str">
        <f>IF(H7&gt;=Settings!$B$13,"Fast-moving",IF(H7&lt;Settings!$B$14,"Slow-moving","Medium"))</f>
        <v>Fast-moving</v>
      </c>
      <c r="L7" s="34">
        <f>RANK(H7,$H$6:$H$23,1)+COUNTIF($H$6:H7,H7)-1</f>
        <v>15</v>
      </c>
    </row>
    <row r="8" spans="1:12" x14ac:dyDescent="0.25">
      <c r="A8" s="34">
        <f>RANK(D8,$D$6:$D$23,0)+COUNTIF($D$6:D8,D8)-1</f>
        <v>3</v>
      </c>
      <c r="B8" s="15" t="s">
        <v>127</v>
      </c>
      <c r="C8" s="7" t="str">
        <f>INDEX(Register!$B$6:$B$23,MATCH(B8,Register!$A$6:$A$23,0))</f>
        <v>Cola Soft Drink 50cl PET</v>
      </c>
      <c r="D8" s="10">
        <f>INDEX(Register!$G$6:$G$23,MATCH(B8,Register!$A$6:$A$23,0))</f>
        <v>60</v>
      </c>
      <c r="E8" s="45">
        <f t="shared" si="0"/>
        <v>0.11278195488721804</v>
      </c>
      <c r="F8" s="21">
        <f>SUMIFS(Transactions!$K$6:$K$1000,Transactions!$C$6:$C$1000,B8,Transactions!$F$6:$F$1000,"Sale",Transactions!$A$6:$A$1000,"&gt;="&amp;Settings!$B$5,Transactions!$A$6:$A$1000,"&lt;="&amp;Settings!$B$7)</f>
        <v>354000</v>
      </c>
      <c r="G8" s="35">
        <f>(INDEX(Register!$D$6:$D$23,MATCH(B8,Register!$A$6:$A$23,0))+INDEX('Reorder Dashboard'!$E$9:$E$26,MATCH(B8,'Reorder Dashboard'!$A$9:$A$26,0)))/2</f>
        <v>28</v>
      </c>
      <c r="H8" s="11">
        <f t="shared" si="1"/>
        <v>2.1428571428571428</v>
      </c>
      <c r="I8" s="35">
        <f t="shared" si="2"/>
        <v>111.42857142857143</v>
      </c>
      <c r="J8" s="35">
        <f>IF(D8=0,"n/a",G8/(D8/Settings!$B$6))</f>
        <v>2.8</v>
      </c>
      <c r="K8" s="12" t="str">
        <f>IF(H8&gt;=Settings!$B$13,"Fast-moving",IF(H8&lt;Settings!$B$14,"Slow-moving","Medium"))</f>
        <v>Fast-moving</v>
      </c>
      <c r="L8" s="34">
        <f>RANK(H8,$H$6:$H$23,1)+COUNTIF($H$6:H8,H8)-1</f>
        <v>17</v>
      </c>
    </row>
    <row r="9" spans="1:12" x14ac:dyDescent="0.25">
      <c r="A9" s="34">
        <f>RANK(D9,$D$6:$D$23,0)+COUNTIF($D$6:D9,D9)-1</f>
        <v>4</v>
      </c>
      <c r="B9" s="15" t="s">
        <v>145</v>
      </c>
      <c r="C9" s="7" t="str">
        <f>INDEX(Register!$B$6:$B$23,MATCH(B9,Register!$A$6:$A$23,0))</f>
        <v>Instant Noodles Onion 70g</v>
      </c>
      <c r="D9" s="10">
        <f>INDEX(Register!$G$6:$G$23,MATCH(B9,Register!$A$6:$A$23,0))</f>
        <v>54</v>
      </c>
      <c r="E9" s="45">
        <f t="shared" si="0"/>
        <v>0.10150375939849623</v>
      </c>
      <c r="F9" s="21">
        <f>SUMIFS(Transactions!$K$6:$K$1000,Transactions!$C$6:$C$1000,B9,Transactions!$F$6:$F$1000,"Sale",Transactions!$A$6:$A$1000,"&gt;="&amp;Settings!$B$5,Transactions!$A$6:$A$1000,"&lt;="&amp;Settings!$B$7)</f>
        <v>459000</v>
      </c>
      <c r="G9" s="35">
        <f>(INDEX(Register!$D$6:$D$23,MATCH(B9,Register!$A$6:$A$23,0))+INDEX('Reorder Dashboard'!$E$9:$E$26,MATCH(B9,'Reorder Dashboard'!$A$9:$A$26,0)))/2</f>
        <v>13.5</v>
      </c>
      <c r="H9" s="11">
        <f t="shared" si="1"/>
        <v>4</v>
      </c>
      <c r="I9" s="35">
        <f t="shared" si="2"/>
        <v>208</v>
      </c>
      <c r="J9" s="35">
        <f>IF(D9=0,"n/a",G9/(D9/Settings!$B$6))</f>
        <v>1.5</v>
      </c>
      <c r="K9" s="12" t="str">
        <f>IF(H9&gt;=Settings!$B$13,"Fast-moving",IF(H9&lt;Settings!$B$14,"Slow-moving","Medium"))</f>
        <v>Fast-moving</v>
      </c>
      <c r="L9" s="34">
        <f>RANK(H9,$H$6:$H$23,1)+COUNTIF($H$6:H9,H9)-1</f>
        <v>18</v>
      </c>
    </row>
    <row r="10" spans="1:12" x14ac:dyDescent="0.25">
      <c r="A10" s="34">
        <f>RANK(D10,$D$6:$D$23,0)+COUNTIF($D$6:D10,D10)-1</f>
        <v>5</v>
      </c>
      <c r="B10" s="15" t="s">
        <v>132</v>
      </c>
      <c r="C10" s="7" t="str">
        <f>INDEX(Register!$B$6:$B$23,MATCH(B10,Register!$A$6:$A$23,0))</f>
        <v>Orange Soft Drink 50cl PET</v>
      </c>
      <c r="D10" s="10">
        <f>INDEX(Register!$G$6:$G$23,MATCH(B10,Register!$A$6:$A$23,0))</f>
        <v>42</v>
      </c>
      <c r="E10" s="45">
        <f t="shared" si="0"/>
        <v>7.8947368421052627E-2</v>
      </c>
      <c r="F10" s="21">
        <f>SUMIFS(Transactions!$K$6:$K$1000,Transactions!$C$6:$C$1000,B10,Transactions!$F$6:$F$1000,"Sale",Transactions!$A$6:$A$1000,"&gt;="&amp;Settings!$B$5,Transactions!$A$6:$A$1000,"&lt;="&amp;Settings!$B$7)</f>
        <v>247800</v>
      </c>
      <c r="G10" s="35">
        <f>(INDEX(Register!$D$6:$D$23,MATCH(B10,Register!$A$6:$A$23,0))+INDEX('Reorder Dashboard'!$E$9:$E$26,MATCH(B10,'Reorder Dashboard'!$A$9:$A$26,0)))/2</f>
        <v>28.5</v>
      </c>
      <c r="H10" s="11">
        <f t="shared" si="1"/>
        <v>1.4736842105263157</v>
      </c>
      <c r="I10" s="35">
        <f t="shared" si="2"/>
        <v>76.631578947368411</v>
      </c>
      <c r="J10" s="35">
        <f>IF(D10=0,"n/a",G10/(D10/Settings!$B$6))</f>
        <v>4.0714285714285712</v>
      </c>
      <c r="K10" s="12" t="str">
        <f>IF(H10&gt;=Settings!$B$13,"Fast-moving",IF(H10&lt;Settings!$B$14,"Slow-moving","Medium"))</f>
        <v>Fast-moving</v>
      </c>
      <c r="L10" s="34">
        <f>RANK(H10,$H$6:$H$23,1)+COUNTIF($H$6:H10,H10)-1</f>
        <v>16</v>
      </c>
    </row>
    <row r="11" spans="1:12" x14ac:dyDescent="0.25">
      <c r="A11" s="34">
        <f>RANK(D11,$D$6:$D$23,0)+COUNTIF($D$6:D11,D11)-1</f>
        <v>6</v>
      </c>
      <c r="B11" s="15" t="s">
        <v>175</v>
      </c>
      <c r="C11" s="7" t="str">
        <f>INDEX(Register!$B$6:$B$23,MATCH(B11,Register!$A$6:$A$23,0))</f>
        <v>Granulated Sugar 500g</v>
      </c>
      <c r="D11" s="10">
        <f>INDEX(Register!$G$6:$G$23,MATCH(B11,Register!$A$6:$A$23,0))</f>
        <v>33</v>
      </c>
      <c r="E11" s="45">
        <f t="shared" si="0"/>
        <v>6.2030075187969921E-2</v>
      </c>
      <c r="F11" s="21">
        <f>SUMIFS(Transactions!$K$6:$K$1000,Transactions!$C$6:$C$1000,B11,Transactions!$F$6:$F$1000,"Sale",Transactions!$A$6:$A$1000,"&gt;="&amp;Settings!$B$5,Transactions!$A$6:$A$1000,"&lt;="&amp;Settings!$B$7)</f>
        <v>620400</v>
      </c>
      <c r="G11" s="35">
        <f>(INDEX(Register!$D$6:$D$23,MATCH(B11,Register!$A$6:$A$23,0))+INDEX('Reorder Dashboard'!$E$9:$E$26,MATCH(B11,'Reorder Dashboard'!$A$9:$A$26,0)))/2</f>
        <v>84</v>
      </c>
      <c r="H11" s="11">
        <f t="shared" si="1"/>
        <v>0.39285714285714285</v>
      </c>
      <c r="I11" s="35">
        <f t="shared" si="2"/>
        <v>20.428571428571427</v>
      </c>
      <c r="J11" s="35">
        <f>IF(D11=0,"n/a",G11/(D11/Settings!$B$6))</f>
        <v>15.272727272727273</v>
      </c>
      <c r="K11" s="12" t="str">
        <f>IF(H11&gt;=Settings!$B$13,"Fast-moving",IF(H11&lt;Settings!$B$14,"Slow-moving","Medium"))</f>
        <v>Slow-moving</v>
      </c>
      <c r="L11" s="34">
        <f>RANK(H11,$H$6:$H$23,1)+COUNTIF($H$6:H11,H11)-1</f>
        <v>6</v>
      </c>
    </row>
    <row r="12" spans="1:12" x14ac:dyDescent="0.25">
      <c r="A12" s="34">
        <f>RANK(D12,$D$6:$D$23,0)+COUNTIF($D$6:D12,D12)-1</f>
        <v>7</v>
      </c>
      <c r="B12" s="15" t="s">
        <v>157</v>
      </c>
      <c r="C12" s="7" t="str">
        <f>INDEX(Register!$B$6:$B$23,MATCH(B12,Register!$A$6:$A$23,0))</f>
        <v>Detergent Powder 900g</v>
      </c>
      <c r="D12" s="10">
        <f>INDEX(Register!$G$6:$G$23,MATCH(B12,Register!$A$6:$A$23,0))</f>
        <v>30</v>
      </c>
      <c r="E12" s="45">
        <f t="shared" si="0"/>
        <v>5.6390977443609019E-2</v>
      </c>
      <c r="F12" s="21">
        <f>SUMIFS(Transactions!$K$6:$K$1000,Transactions!$C$6:$C$1000,B12,Transactions!$F$6:$F$1000,"Sale",Transactions!$A$6:$A$1000,"&gt;="&amp;Settings!$B$5,Transactions!$A$6:$A$1000,"&lt;="&amp;Settings!$B$7)</f>
        <v>486000</v>
      </c>
      <c r="G12" s="35">
        <f>(INDEX(Register!$D$6:$D$23,MATCH(B12,Register!$A$6:$A$23,0))+INDEX('Reorder Dashboard'!$E$9:$E$26,MATCH(B12,'Reorder Dashboard'!$A$9:$A$26,0)))/2</f>
        <v>29</v>
      </c>
      <c r="H12" s="11">
        <f t="shared" si="1"/>
        <v>1.0344827586206897</v>
      </c>
      <c r="I12" s="35">
        <f t="shared" si="2"/>
        <v>53.793103448275865</v>
      </c>
      <c r="J12" s="35">
        <f>IF(D12=0,"n/a",G12/(D12/Settings!$B$6))</f>
        <v>5.8</v>
      </c>
      <c r="K12" s="12" t="str">
        <f>IF(H12&gt;=Settings!$B$13,"Fast-moving",IF(H12&lt;Settings!$B$14,"Slow-moving","Medium"))</f>
        <v>Fast-moving</v>
      </c>
      <c r="L12" s="34">
        <f>RANK(H12,$H$6:$H$23,1)+COUNTIF($H$6:H12,H12)-1</f>
        <v>13</v>
      </c>
    </row>
    <row r="13" spans="1:12" x14ac:dyDescent="0.25">
      <c r="A13" s="34">
        <f>RANK(D13,$D$6:$D$23,0)+COUNTIF($D$6:D13,D13)-1</f>
        <v>8</v>
      </c>
      <c r="B13" s="15" t="s">
        <v>170</v>
      </c>
      <c r="C13" s="7" t="str">
        <f>INDEX(Register!$B$6:$B$23,MATCH(B13,Register!$A$6:$A$23,0))</f>
        <v>Tomato Paste 70g Sachet</v>
      </c>
      <c r="D13" s="10">
        <f>INDEX(Register!$G$6:$G$23,MATCH(B13,Register!$A$6:$A$23,0))</f>
        <v>26</v>
      </c>
      <c r="E13" s="45">
        <f t="shared" si="0"/>
        <v>4.8872180451127817E-2</v>
      </c>
      <c r="F13" s="21">
        <f>SUMIFS(Transactions!$K$6:$K$1000,Transactions!$C$6:$C$1000,B13,Transactions!$F$6:$F$1000,"Sale",Transactions!$A$6:$A$1000,"&gt;="&amp;Settings!$B$5,Transactions!$A$6:$A$1000,"&lt;="&amp;Settings!$B$7)</f>
        <v>447200</v>
      </c>
      <c r="G13" s="35">
        <f>(INDEX(Register!$D$6:$D$23,MATCH(B13,Register!$A$6:$A$23,0))+INDEX('Reorder Dashboard'!$E$9:$E$26,MATCH(B13,'Reorder Dashboard'!$A$9:$A$26,0)))/2</f>
        <v>39.5</v>
      </c>
      <c r="H13" s="11">
        <f t="shared" si="1"/>
        <v>0.65822784810126578</v>
      </c>
      <c r="I13" s="35">
        <f t="shared" si="2"/>
        <v>34.22784810126582</v>
      </c>
      <c r="J13" s="35">
        <f>IF(D13=0,"n/a",G13/(D13/Settings!$B$6))</f>
        <v>9.1153846153846168</v>
      </c>
      <c r="K13" s="12" t="str">
        <f>IF(H13&gt;=Settings!$B$13,"Fast-moving",IF(H13&lt;Settings!$B$14,"Slow-moving","Medium"))</f>
        <v>Medium</v>
      </c>
      <c r="L13" s="34">
        <f>RANK(H13,$H$6:$H$23,1)+COUNTIF($H$6:H13,H13)-1</f>
        <v>10</v>
      </c>
    </row>
    <row r="14" spans="1:12" x14ac:dyDescent="0.25">
      <c r="A14" s="34">
        <f>RANK(D14,$D$6:$D$23,0)+COUNTIF($D$6:D14,D14)-1</f>
        <v>9</v>
      </c>
      <c r="B14" s="15" t="s">
        <v>150</v>
      </c>
      <c r="C14" s="7" t="str">
        <f>INDEX(Register!$B$6:$B$23,MATCH(B14,Register!$A$6:$A$23,0))</f>
        <v>Vegetable Oil 5L</v>
      </c>
      <c r="D14" s="10">
        <f>INDEX(Register!$G$6:$G$23,MATCH(B14,Register!$A$6:$A$23,0))</f>
        <v>24</v>
      </c>
      <c r="E14" s="45">
        <f t="shared" si="0"/>
        <v>4.5112781954887216E-2</v>
      </c>
      <c r="F14" s="21">
        <f>SUMIFS(Transactions!$K$6:$K$1000,Transactions!$C$6:$C$1000,B14,Transactions!$F$6:$F$1000,"Sale",Transactions!$A$6:$A$1000,"&gt;="&amp;Settings!$B$5,Transactions!$A$6:$A$1000,"&lt;="&amp;Settings!$B$7)</f>
        <v>996000</v>
      </c>
      <c r="G14" s="35">
        <f>(INDEX(Register!$D$6:$D$23,MATCH(B14,Register!$A$6:$A$23,0))+INDEX('Reorder Dashboard'!$E$9:$E$26,MATCH(B14,'Reorder Dashboard'!$A$9:$A$26,0)))/2</f>
        <v>22</v>
      </c>
      <c r="H14" s="11">
        <f t="shared" si="1"/>
        <v>1.0909090909090908</v>
      </c>
      <c r="I14" s="35">
        <f t="shared" si="2"/>
        <v>56.72727272727272</v>
      </c>
      <c r="J14" s="35">
        <f>IF(D14=0,"n/a",G14/(D14/Settings!$B$6))</f>
        <v>5.5</v>
      </c>
      <c r="K14" s="12" t="str">
        <f>IF(H14&gt;=Settings!$B$13,"Fast-moving",IF(H14&lt;Settings!$B$14,"Slow-moving","Medium"))</f>
        <v>Fast-moving</v>
      </c>
      <c r="L14" s="34">
        <f>RANK(H14,$H$6:$H$23,1)+COUNTIF($H$6:H14,H14)-1</f>
        <v>14</v>
      </c>
    </row>
    <row r="15" spans="1:12" x14ac:dyDescent="0.25">
      <c r="A15" s="34">
        <f>RANK(D15,$D$6:$D$23,0)+COUNTIF($D$6:D15,D15)-1</f>
        <v>10</v>
      </c>
      <c r="B15" s="15" t="s">
        <v>161</v>
      </c>
      <c r="C15" s="7" t="str">
        <f>INDEX(Register!$B$6:$B$23,MATCH(B15,Register!$A$6:$A$23,0))</f>
        <v>Detergent Powder 400g</v>
      </c>
      <c r="D15" s="10">
        <f>INDEX(Register!$G$6:$G$23,MATCH(B15,Register!$A$6:$A$23,0))</f>
        <v>20</v>
      </c>
      <c r="E15" s="45">
        <f t="shared" si="0"/>
        <v>3.7593984962406013E-2</v>
      </c>
      <c r="F15" s="21">
        <f>SUMIFS(Transactions!$K$6:$K$1000,Transactions!$C$6:$C$1000,B15,Transactions!$F$6:$F$1000,"Sale",Transactions!$A$6:$A$1000,"&gt;="&amp;Settings!$B$5,Transactions!$A$6:$A$1000,"&lt;="&amp;Settings!$B$7)</f>
        <v>380000</v>
      </c>
      <c r="G15" s="35">
        <f>(INDEX(Register!$D$6:$D$23,MATCH(B15,Register!$A$6:$A$23,0))+INDEX('Reorder Dashboard'!$E$9:$E$26,MATCH(B15,'Reorder Dashboard'!$A$9:$A$26,0)))/2</f>
        <v>40.5</v>
      </c>
      <c r="H15" s="11">
        <f t="shared" si="1"/>
        <v>0.49382716049382713</v>
      </c>
      <c r="I15" s="35">
        <f t="shared" si="2"/>
        <v>25.679012345679013</v>
      </c>
      <c r="J15" s="35">
        <f>IF(D15=0,"n/a",G15/(D15/Settings!$B$6))</f>
        <v>12.149999999999999</v>
      </c>
      <c r="K15" s="12" t="str">
        <f>IF(H15&gt;=Settings!$B$13,"Fast-moving",IF(H15&lt;Settings!$B$14,"Slow-moving","Medium"))</f>
        <v>Slow-moving</v>
      </c>
      <c r="L15" s="34">
        <f>RANK(H15,$H$6:$H$23,1)+COUNTIF($H$6:H15,H15)-1</f>
        <v>9</v>
      </c>
    </row>
    <row r="16" spans="1:12" x14ac:dyDescent="0.25">
      <c r="A16" s="34">
        <f>RANK(D16,$D$6:$D$23,0)+COUNTIF($D$6:D16,D16)-1</f>
        <v>11</v>
      </c>
      <c r="B16" s="15" t="s">
        <v>165</v>
      </c>
      <c r="C16" s="7" t="str">
        <f>INDEX(Register!$B$6:$B$23,MATCH(B16,Register!$A$6:$A$23,0))</f>
        <v>Evaporated Milk 160g Tin</v>
      </c>
      <c r="D16" s="10">
        <f>INDEX(Register!$G$6:$G$23,MATCH(B16,Register!$A$6:$A$23,0))</f>
        <v>18</v>
      </c>
      <c r="E16" s="45">
        <f t="shared" si="0"/>
        <v>3.3834586466165412E-2</v>
      </c>
      <c r="F16" s="21">
        <f>SUMIFS(Transactions!$K$6:$K$1000,Transactions!$C$6:$C$1000,B16,Transactions!$F$6:$F$1000,"Sale",Transactions!$A$6:$A$1000,"&gt;="&amp;Settings!$B$5,Transactions!$A$6:$A$1000,"&lt;="&amp;Settings!$B$7)</f>
        <v>558000</v>
      </c>
      <c r="G16" s="35">
        <f>(INDEX(Register!$D$6:$D$23,MATCH(B16,Register!$A$6:$A$23,0))+INDEX('Reorder Dashboard'!$E$9:$E$26,MATCH(B16,'Reorder Dashboard'!$A$9:$A$26,0)))/2</f>
        <v>19</v>
      </c>
      <c r="H16" s="11">
        <f t="shared" si="1"/>
        <v>0.94736842105263153</v>
      </c>
      <c r="I16" s="35">
        <f t="shared" si="2"/>
        <v>49.263157894736842</v>
      </c>
      <c r="J16" s="35">
        <f>IF(D16=0,"n/a",G16/(D16/Settings!$B$6))</f>
        <v>6.333333333333333</v>
      </c>
      <c r="K16" s="12" t="str">
        <f>IF(H16&gt;=Settings!$B$13,"Fast-moving",IF(H16&lt;Settings!$B$14,"Slow-moving","Medium"))</f>
        <v>Medium</v>
      </c>
      <c r="L16" s="34">
        <f>RANK(H16,$H$6:$H$23,1)+COUNTIF($H$6:H16,H16)-1</f>
        <v>12</v>
      </c>
    </row>
    <row r="17" spans="1:12" x14ac:dyDescent="0.25">
      <c r="A17" s="34">
        <f>RANK(D17,$D$6:$D$23,0)+COUNTIF($D$6:D17,D17)-1</f>
        <v>12</v>
      </c>
      <c r="B17" s="15" t="s">
        <v>173</v>
      </c>
      <c r="C17" s="7" t="str">
        <f>INDEX(Register!$B$6:$B$23,MATCH(B17,Register!$A$6:$A$23,0))</f>
        <v>Seasoning Cubes</v>
      </c>
      <c r="D17" s="10">
        <f>INDEX(Register!$G$6:$G$23,MATCH(B17,Register!$A$6:$A$23,0))</f>
        <v>15</v>
      </c>
      <c r="E17" s="45">
        <f t="shared" si="0"/>
        <v>2.819548872180451E-2</v>
      </c>
      <c r="F17" s="21">
        <f>SUMIFS(Transactions!$K$6:$K$1000,Transactions!$C$6:$C$1000,B17,Transactions!$F$6:$F$1000,"Sale",Transactions!$A$6:$A$1000,"&gt;="&amp;Settings!$B$5,Transactions!$A$6:$A$1000,"&lt;="&amp;Settings!$B$7)</f>
        <v>232500</v>
      </c>
      <c r="G17" s="35">
        <f>(INDEX(Register!$D$6:$D$23,MATCH(B17,Register!$A$6:$A$23,0))+INDEX('Reorder Dashboard'!$E$9:$E$26,MATCH(B17,'Reorder Dashboard'!$A$9:$A$26,0)))/2</f>
        <v>42.5</v>
      </c>
      <c r="H17" s="11">
        <f t="shared" si="1"/>
        <v>0.35294117647058826</v>
      </c>
      <c r="I17" s="35">
        <f t="shared" si="2"/>
        <v>18.352941176470591</v>
      </c>
      <c r="J17" s="35">
        <f>IF(D17=0,"n/a",G17/(D17/Settings!$B$6))</f>
        <v>17</v>
      </c>
      <c r="K17" s="12" t="str">
        <f>IF(H17&gt;=Settings!$B$13,"Fast-moving",IF(H17&lt;Settings!$B$14,"Slow-moving","Medium"))</f>
        <v>Slow-moving</v>
      </c>
      <c r="L17" s="34">
        <f>RANK(H17,$H$6:$H$23,1)+COUNTIF($H$6:H17,H17)-1</f>
        <v>5</v>
      </c>
    </row>
    <row r="18" spans="1:12" x14ac:dyDescent="0.25">
      <c r="A18" s="34">
        <f>RANK(D18,$D$6:$D$23,0)+COUNTIF($D$6:D18,D18)-1</f>
        <v>13</v>
      </c>
      <c r="B18" s="15" t="s">
        <v>147</v>
      </c>
      <c r="C18" s="7" t="str">
        <f>INDEX(Register!$B$6:$B$23,MATCH(B18,Register!$A$6:$A$23,0))</f>
        <v>Spaghetti 500g</v>
      </c>
      <c r="D18" s="10">
        <f>INDEX(Register!$G$6:$G$23,MATCH(B18,Register!$A$6:$A$23,0))</f>
        <v>12</v>
      </c>
      <c r="E18" s="45">
        <f t="shared" si="0"/>
        <v>2.2556390977443608E-2</v>
      </c>
      <c r="F18" s="21">
        <f>SUMIFS(Transactions!$K$6:$K$1000,Transactions!$C$6:$C$1000,B18,Transactions!$F$6:$F$1000,"Sale",Transactions!$A$6:$A$1000,"&gt;="&amp;Settings!$B$5,Transactions!$A$6:$A$1000,"&lt;="&amp;Settings!$B$7)</f>
        <v>153600</v>
      </c>
      <c r="G18" s="35">
        <f>(INDEX(Register!$D$6:$D$23,MATCH(B18,Register!$A$6:$A$23,0))+INDEX('Reorder Dashboard'!$E$9:$E$26,MATCH(B18,'Reorder Dashboard'!$A$9:$A$26,0)))/2</f>
        <v>29.5</v>
      </c>
      <c r="H18" s="11">
        <f t="shared" si="1"/>
        <v>0.40677966101694918</v>
      </c>
      <c r="I18" s="35">
        <f t="shared" si="2"/>
        <v>21.152542372881356</v>
      </c>
      <c r="J18" s="35">
        <f>IF(D18=0,"n/a",G18/(D18/Settings!$B$6))</f>
        <v>14.75</v>
      </c>
      <c r="K18" s="12" t="str">
        <f>IF(H18&gt;=Settings!$B$13,"Fast-moving",IF(H18&lt;Settings!$B$14,"Slow-moving","Medium"))</f>
        <v>Slow-moving</v>
      </c>
      <c r="L18" s="34">
        <f>RANK(H18,$H$6:$H$23,1)+COUNTIF($H$6:H18,H18)-1</f>
        <v>7</v>
      </c>
    </row>
    <row r="19" spans="1:12" x14ac:dyDescent="0.25">
      <c r="A19" s="34">
        <f>RANK(D19,$D$6:$D$23,0)+COUNTIF($D$6:D19,D19)-1</f>
        <v>14</v>
      </c>
      <c r="B19" s="15" t="s">
        <v>155</v>
      </c>
      <c r="C19" s="7" t="str">
        <f>INDEX(Register!$B$6:$B$23,MATCH(B19,Register!$A$6:$A$23,0))</f>
        <v>Vegetable Oil 1L</v>
      </c>
      <c r="D19" s="10">
        <f>INDEX(Register!$G$6:$G$23,MATCH(B19,Register!$A$6:$A$23,0))</f>
        <v>10</v>
      </c>
      <c r="E19" s="45">
        <f t="shared" si="0"/>
        <v>1.8796992481203006E-2</v>
      </c>
      <c r="F19" s="21">
        <f>SUMIFS(Transactions!$K$6:$K$1000,Transactions!$C$6:$C$1000,B19,Transactions!$F$6:$F$1000,"Sale",Transactions!$A$6:$A$1000,"&gt;="&amp;Settings!$B$5,Transactions!$A$6:$A$1000,"&lt;="&amp;Settings!$B$7)</f>
        <v>390000</v>
      </c>
      <c r="G19" s="35">
        <f>(INDEX(Register!$D$6:$D$23,MATCH(B19,Register!$A$6:$A$23,0))+INDEX('Reorder Dashboard'!$E$9:$E$26,MATCH(B19,'Reorder Dashboard'!$A$9:$A$26,0)))/2</f>
        <v>22.5</v>
      </c>
      <c r="H19" s="11">
        <f t="shared" si="1"/>
        <v>0.44444444444444442</v>
      </c>
      <c r="I19" s="35">
        <f t="shared" si="2"/>
        <v>23.111111111111111</v>
      </c>
      <c r="J19" s="35">
        <f>IF(D19=0,"n/a",G19/(D19/Settings!$B$6))</f>
        <v>13.5</v>
      </c>
      <c r="K19" s="12" t="str">
        <f>IF(H19&gt;=Settings!$B$13,"Fast-moving",IF(H19&lt;Settings!$B$14,"Slow-moving","Medium"))</f>
        <v>Slow-moving</v>
      </c>
      <c r="L19" s="34">
        <f>RANK(H19,$H$6:$H$23,1)+COUNTIF($H$6:H19,H19)-1</f>
        <v>8</v>
      </c>
    </row>
    <row r="20" spans="1:12" x14ac:dyDescent="0.25">
      <c r="A20" s="34">
        <f>RANK(D20,$D$6:$D$23,0)+COUNTIF($D$6:D20,D20)-1</f>
        <v>15</v>
      </c>
      <c r="B20" s="15" t="s">
        <v>137</v>
      </c>
      <c r="C20" s="7" t="str">
        <f>INDEX(Register!$B$6:$B$23,MATCH(B20,Register!$A$6:$A$23,0))</f>
        <v>Malt Drink 33cl Can</v>
      </c>
      <c r="D20" s="10">
        <f>INDEX(Register!$G$6:$G$23,MATCH(B20,Register!$A$6:$A$23,0))</f>
        <v>9</v>
      </c>
      <c r="E20" s="45">
        <f t="shared" si="0"/>
        <v>1.6917293233082706E-2</v>
      </c>
      <c r="F20" s="21">
        <f>SUMIFS(Transactions!$K$6:$K$1000,Transactions!$C$6:$C$1000,B20,Transactions!$F$6:$F$1000,"Sale",Transactions!$A$6:$A$1000,"&gt;="&amp;Settings!$B$5,Transactions!$A$6:$A$1000,"&lt;="&amp;Settings!$B$7)</f>
        <v>100800</v>
      </c>
      <c r="G20" s="35">
        <f>(INDEX(Register!$D$6:$D$23,MATCH(B20,Register!$A$6:$A$23,0))+INDEX('Reorder Dashboard'!$E$9:$E$26,MATCH(B20,'Reorder Dashboard'!$A$9:$A$26,0)))/2</f>
        <v>32</v>
      </c>
      <c r="H20" s="11">
        <f t="shared" si="1"/>
        <v>0.28125</v>
      </c>
      <c r="I20" s="35">
        <f t="shared" si="2"/>
        <v>14.625</v>
      </c>
      <c r="J20" s="35">
        <f>IF(D20=0,"n/a",G20/(D20/Settings!$B$6))</f>
        <v>21.333333333333332</v>
      </c>
      <c r="K20" s="12" t="str">
        <f>IF(H20&gt;=Settings!$B$13,"Fast-moving",IF(H20&lt;Settings!$B$14,"Slow-moving","Medium"))</f>
        <v>Slow-moving</v>
      </c>
      <c r="L20" s="34">
        <f>RANK(H20,$H$6:$H$23,1)+COUNTIF($H$6:H20,H20)-1</f>
        <v>4</v>
      </c>
    </row>
    <row r="21" spans="1:12" x14ac:dyDescent="0.25">
      <c r="A21" s="34">
        <f>RANK(D21,$D$6:$D$23,0)+COUNTIF($D$6:D21,D21)-1</f>
        <v>16</v>
      </c>
      <c r="B21" s="15" t="s">
        <v>163</v>
      </c>
      <c r="C21" s="7" t="str">
        <f>INDEX(Register!$B$6:$B$23,MATCH(B21,Register!$A$6:$A$23,0))</f>
        <v>Laundry Bar Soap</v>
      </c>
      <c r="D21" s="10">
        <f>INDEX(Register!$G$6:$G$23,MATCH(B21,Register!$A$6:$A$23,0))</f>
        <v>7</v>
      </c>
      <c r="E21" s="45">
        <f t="shared" si="0"/>
        <v>1.3157894736842105E-2</v>
      </c>
      <c r="F21" s="21">
        <f>SUMIFS(Transactions!$K$6:$K$1000,Transactions!$C$6:$C$1000,B21,Transactions!$F$6:$F$1000,"Sale",Transactions!$A$6:$A$1000,"&gt;="&amp;Settings!$B$5,Transactions!$A$6:$A$1000,"&lt;="&amp;Settings!$B$7)</f>
        <v>71400</v>
      </c>
      <c r="G21" s="35">
        <f>(INDEX(Register!$D$6:$D$23,MATCH(B21,Register!$A$6:$A$23,0))+INDEX('Reorder Dashboard'!$E$9:$E$26,MATCH(B21,'Reorder Dashboard'!$A$9:$A$26,0)))/2</f>
        <v>31.5</v>
      </c>
      <c r="H21" s="11">
        <f t="shared" si="1"/>
        <v>0.22222222222222221</v>
      </c>
      <c r="I21" s="35">
        <f t="shared" si="2"/>
        <v>11.555555555555555</v>
      </c>
      <c r="J21" s="35">
        <f>IF(D21=0,"n/a",G21/(D21/Settings!$B$6))</f>
        <v>27</v>
      </c>
      <c r="K21" s="12" t="str">
        <f>IF(H21&gt;=Settings!$B$13,"Fast-moving",IF(H21&lt;Settings!$B$14,"Slow-moving","Medium"))</f>
        <v>Slow-moving</v>
      </c>
      <c r="L21" s="34">
        <f>RANK(H21,$H$6:$H$23,1)+COUNTIF($H$6:H21,H21)-1</f>
        <v>3</v>
      </c>
    </row>
    <row r="22" spans="1:12" x14ac:dyDescent="0.25">
      <c r="A22" s="34">
        <f>RANK(D22,$D$6:$D$23,0)+COUNTIF($D$6:D22,D22)-1</f>
        <v>17</v>
      </c>
      <c r="B22" s="15" t="s">
        <v>179</v>
      </c>
      <c r="C22" s="7" t="str">
        <f>INDEX(Register!$B$6:$B$23,MATCH(B22,Register!$A$6:$A$23,0))</f>
        <v>Cocoa Beverage Powder 400g</v>
      </c>
      <c r="D22" s="10">
        <f>INDEX(Register!$G$6:$G$23,MATCH(B22,Register!$A$6:$A$23,0))</f>
        <v>6</v>
      </c>
      <c r="E22" s="45">
        <f t="shared" si="0"/>
        <v>1.1278195488721804E-2</v>
      </c>
      <c r="F22" s="21">
        <f>SUMIFS(Transactions!$K$6:$K$1000,Transactions!$C$6:$C$1000,B22,Transactions!$F$6:$F$1000,"Sale",Transactions!$A$6:$A$1000,"&gt;="&amp;Settings!$B$5,Transactions!$A$6:$A$1000,"&lt;="&amp;Settings!$B$7)</f>
        <v>141000</v>
      </c>
      <c r="G22" s="35">
        <f>(INDEX(Register!$D$6:$D$23,MATCH(B22,Register!$A$6:$A$23,0))+INDEX('Reorder Dashboard'!$E$9:$E$26,MATCH(B22,'Reorder Dashboard'!$A$9:$A$26,0)))/2</f>
        <v>29</v>
      </c>
      <c r="H22" s="11">
        <f t="shared" si="1"/>
        <v>0.20689655172413793</v>
      </c>
      <c r="I22" s="35">
        <f t="shared" si="2"/>
        <v>10.758620689655173</v>
      </c>
      <c r="J22" s="35">
        <f>IF(D22=0,"n/a",G22/(D22/Settings!$B$6))</f>
        <v>29</v>
      </c>
      <c r="K22" s="12" t="str">
        <f>IF(H22&gt;=Settings!$B$13,"Fast-moving",IF(H22&lt;Settings!$B$14,"Slow-moving","Medium"))</f>
        <v>Slow-moving</v>
      </c>
      <c r="L22" s="34">
        <f>RANK(H22,$H$6:$H$23,1)+COUNTIF($H$6:H22,H22)-1</f>
        <v>2</v>
      </c>
    </row>
    <row r="23" spans="1:12" x14ac:dyDescent="0.25">
      <c r="A23" s="34">
        <f>RANK(D23,$D$6:$D$23,0)+COUNTIF($D$6:D23,D23)-1</f>
        <v>18</v>
      </c>
      <c r="B23" s="15" t="s">
        <v>177</v>
      </c>
      <c r="C23" s="7" t="str">
        <f>INDEX(Register!$B$6:$B$23,MATCH(B23,Register!$A$6:$A$23,0))</f>
        <v>Table Salt 500g</v>
      </c>
      <c r="D23" s="10">
        <f>INDEX(Register!$G$6:$G$23,MATCH(B23,Register!$A$6:$A$23,0))</f>
        <v>4</v>
      </c>
      <c r="E23" s="45">
        <f t="shared" si="0"/>
        <v>7.5187969924812026E-3</v>
      </c>
      <c r="F23" s="21">
        <f>SUMIFS(Transactions!$K$6:$K$1000,Transactions!$C$6:$C$1000,B23,Transactions!$F$6:$F$1000,"Sale",Transactions!$A$6:$A$1000,"&gt;="&amp;Settings!$B$5,Transactions!$A$6:$A$1000,"&lt;="&amp;Settings!$B$7)</f>
        <v>29600</v>
      </c>
      <c r="G23" s="35">
        <f>(INDEX(Register!$D$6:$D$23,MATCH(B23,Register!$A$6:$A$23,0))+INDEX('Reorder Dashboard'!$E$9:$E$26,MATCH(B23,'Reorder Dashboard'!$A$9:$A$26,0)))/2</f>
        <v>22</v>
      </c>
      <c r="H23" s="11">
        <f t="shared" si="1"/>
        <v>0.18181818181818182</v>
      </c>
      <c r="I23" s="35">
        <f t="shared" si="2"/>
        <v>9.454545454545455</v>
      </c>
      <c r="J23" s="35">
        <f>IF(D23=0,"n/a",G23/(D23/Settings!$B$6))</f>
        <v>33</v>
      </c>
      <c r="K23" s="12" t="str">
        <f>IF(H23&gt;=Settings!$B$13,"Fast-moving",IF(H23&lt;Settings!$B$14,"Slow-moving","Medium"))</f>
        <v>Slow-moving</v>
      </c>
      <c r="L23" s="34">
        <f>RANK(H23,$H$6:$H$23,1)+COUNTIF($H$6:H23,H23)-1</f>
        <v>1</v>
      </c>
    </row>
    <row r="24" spans="1:12" x14ac:dyDescent="0.25">
      <c r="A24" s="23" t="s">
        <v>454</v>
      </c>
      <c r="B24" s="24"/>
      <c r="C24" s="24"/>
      <c r="D24" s="43">
        <f>SUM(D6:D23)</f>
        <v>532</v>
      </c>
      <c r="E24" s="24"/>
      <c r="F24" s="27">
        <f>SUM(F6:F23)</f>
        <v>6588900</v>
      </c>
      <c r="G24" s="24"/>
      <c r="H24" s="24"/>
      <c r="I24" s="24"/>
      <c r="J24" s="24"/>
      <c r="K24" s="24"/>
      <c r="L24" s="24"/>
    </row>
    <row r="26" spans="1:12" x14ac:dyDescent="0.25">
      <c r="A26" s="18" t="s">
        <v>510</v>
      </c>
    </row>
    <row r="27" spans="1:12" x14ac:dyDescent="0.25">
      <c r="A27" s="1" t="s">
        <v>511</v>
      </c>
      <c r="B27" s="1"/>
      <c r="C27" s="34">
        <f>COUNTIF($K$6:$K$23,A27)</f>
        <v>6</v>
      </c>
    </row>
    <row r="28" spans="1:12" x14ac:dyDescent="0.25">
      <c r="A28" s="1" t="s">
        <v>512</v>
      </c>
      <c r="B28" s="1"/>
      <c r="C28" s="34">
        <f>COUNTIF($K$6:$K$23,A28)</f>
        <v>3</v>
      </c>
    </row>
    <row r="29" spans="1:12" x14ac:dyDescent="0.25">
      <c r="A29" s="1" t="s">
        <v>513</v>
      </c>
      <c r="B29" s="1"/>
      <c r="C29" s="34">
        <f>COUNTIF($K$6:$K$23,A29)</f>
        <v>9</v>
      </c>
    </row>
  </sheetData>
  <mergeCells count="3">
    <mergeCell ref="A27:B27"/>
    <mergeCell ref="A28:B28"/>
    <mergeCell ref="A29:B29"/>
  </mergeCells>
  <conditionalFormatting sqref="K6:K23">
    <cfRule type="expression" dxfId="2" priority="2">
      <formula>K6="Fast-moving"</formula>
    </cfRule>
    <cfRule type="expression" dxfId="1" priority="3">
      <formula>K6="Medium"</formula>
    </cfRule>
    <cfRule type="expression" dxfId="0" priority="4">
      <formula>K6="Slow-moving"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2" width="10" customWidth="1"/>
    <col min="3" max="3" width="11" customWidth="1"/>
    <col min="4" max="4" width="13" customWidth="1"/>
    <col min="5" max="5" width="16" customWidth="1"/>
    <col min="6" max="6" width="17" customWidth="1"/>
    <col min="7" max="10" width="16" customWidth="1"/>
  </cols>
  <sheetData>
    <row r="1" spans="1:10" ht="18" x14ac:dyDescent="0.25">
      <c r="A1" s="5" t="s">
        <v>514</v>
      </c>
    </row>
    <row r="2" spans="1:10" x14ac:dyDescent="0.25">
      <c r="A2" s="6" t="s">
        <v>515</v>
      </c>
    </row>
    <row r="5" spans="1:10" ht="36" customHeight="1" x14ac:dyDescent="0.25">
      <c r="A5" s="9" t="s">
        <v>184</v>
      </c>
      <c r="B5" s="9" t="s">
        <v>516</v>
      </c>
      <c r="C5" s="9" t="s">
        <v>517</v>
      </c>
      <c r="D5" s="9" t="s">
        <v>518</v>
      </c>
      <c r="E5" s="9" t="s">
        <v>519</v>
      </c>
      <c r="F5" s="9" t="s">
        <v>520</v>
      </c>
      <c r="G5" s="9" t="s">
        <v>521</v>
      </c>
      <c r="H5" s="9" t="s">
        <v>522</v>
      </c>
      <c r="I5" s="9" t="s">
        <v>523</v>
      </c>
      <c r="J5" s="9" t="s">
        <v>524</v>
      </c>
    </row>
    <row r="6" spans="1:10" x14ac:dyDescent="0.25">
      <c r="A6" s="46">
        <f>Settings!$B$5+0</f>
        <v>46314</v>
      </c>
      <c r="B6" s="12" t="str">
        <f t="shared" ref="B6:B11" si="0">TEXT(A6,"ddd")</f>
        <v>Mon</v>
      </c>
      <c r="C6" s="34">
        <f>COUNTIFS(Transactions!$A$6:$A$1000,A6,Transactions!$F$6:$F$1000,"Sale")</f>
        <v>33</v>
      </c>
      <c r="D6" s="10">
        <f>SUMIFS(Transactions!$G$6:$G$1000,Transactions!$A$6:$A$1000,A6,Transactions!$F$6:$F$1000,"Sale")</f>
        <v>75</v>
      </c>
      <c r="E6" s="21">
        <f>SUMIFS(Transactions!$K$6:$K$1000,Transactions!$A$6:$A$1000,$A6,Transactions!$F$6:$F$1000,"Sale",Transactions!$I$6:$I$1000,"Cash")</f>
        <v>258200</v>
      </c>
      <c r="F6" s="21">
        <f>SUMIFS(Transactions!$K$6:$K$1000,Transactions!$A$6:$A$1000,$A6,Transactions!$F$6:$F$1000,"Sale",Transactions!$I$6:$I$1000,"Transfer")</f>
        <v>326100</v>
      </c>
      <c r="G6" s="21">
        <f>SUMIFS(Transactions!$K$6:$K$1000,Transactions!$A$6:$A$1000,$A6,Transactions!$F$6:$F$1000,"Sale",Transactions!$I$6:$I$1000,"Credit")</f>
        <v>322600</v>
      </c>
      <c r="H6" s="21">
        <f>SUMIFS(Transactions!$K$6:$K$1000,Transactions!$A$6:$A$1000,A6,Transactions!$F$6:$F$1000,"Sale")</f>
        <v>906900</v>
      </c>
      <c r="I6" s="21">
        <f>SUMIFS(Transactions!$K$6:$K$1000,Transactions!$A$6:$A$1000,A6,Transactions!$F$6:$F$1000,"Sales Return")</f>
        <v>0</v>
      </c>
      <c r="J6" s="47">
        <f t="shared" ref="J6:J11" si="1">H6-I6</f>
        <v>906900</v>
      </c>
    </row>
    <row r="7" spans="1:10" x14ac:dyDescent="0.25">
      <c r="A7" s="46">
        <f>Settings!$B$5+1</f>
        <v>46315</v>
      </c>
      <c r="B7" s="12" t="str">
        <f t="shared" si="0"/>
        <v>Tue</v>
      </c>
      <c r="C7" s="34">
        <f>COUNTIFS(Transactions!$A$6:$A$1000,A7,Transactions!$F$6:$F$1000,"Sale")</f>
        <v>27</v>
      </c>
      <c r="D7" s="10">
        <f>SUMIFS(Transactions!$G$6:$G$1000,Transactions!$A$6:$A$1000,A7,Transactions!$F$6:$F$1000,"Sale")</f>
        <v>72</v>
      </c>
      <c r="E7" s="21">
        <f>SUMIFS(Transactions!$K$6:$K$1000,Transactions!$A$6:$A$1000,$A7,Transactions!$F$6:$F$1000,"Sale",Transactions!$I$6:$I$1000,"Cash")</f>
        <v>428500</v>
      </c>
      <c r="F7" s="21">
        <f>SUMIFS(Transactions!$K$6:$K$1000,Transactions!$A$6:$A$1000,$A7,Transactions!$F$6:$F$1000,"Sale",Transactions!$I$6:$I$1000,"Transfer")</f>
        <v>102900</v>
      </c>
      <c r="G7" s="21">
        <f>SUMIFS(Transactions!$K$6:$K$1000,Transactions!$A$6:$A$1000,$A7,Transactions!$F$6:$F$1000,"Sale",Transactions!$I$6:$I$1000,"Credit")</f>
        <v>306300</v>
      </c>
      <c r="H7" s="21">
        <f>SUMIFS(Transactions!$K$6:$K$1000,Transactions!$A$6:$A$1000,A7,Transactions!$F$6:$F$1000,"Sale")</f>
        <v>837700</v>
      </c>
      <c r="I7" s="21">
        <f>SUMIFS(Transactions!$K$6:$K$1000,Transactions!$A$6:$A$1000,A7,Transactions!$F$6:$F$1000,"Sales Return")</f>
        <v>16200</v>
      </c>
      <c r="J7" s="47">
        <f t="shared" si="1"/>
        <v>821500</v>
      </c>
    </row>
    <row r="8" spans="1:10" x14ac:dyDescent="0.25">
      <c r="A8" s="46">
        <f>Settings!$B$5+2</f>
        <v>46316</v>
      </c>
      <c r="B8" s="12" t="str">
        <f t="shared" si="0"/>
        <v>Wed</v>
      </c>
      <c r="C8" s="34">
        <f>COUNTIFS(Transactions!$A$6:$A$1000,A8,Transactions!$F$6:$F$1000,"Sale")</f>
        <v>17</v>
      </c>
      <c r="D8" s="10">
        <f>SUMIFS(Transactions!$G$6:$G$1000,Transactions!$A$6:$A$1000,A8,Transactions!$F$6:$F$1000,"Sale")</f>
        <v>63</v>
      </c>
      <c r="E8" s="21">
        <f>SUMIFS(Transactions!$K$6:$K$1000,Transactions!$A$6:$A$1000,$A8,Transactions!$F$6:$F$1000,"Sale",Transactions!$I$6:$I$1000,"Cash")</f>
        <v>99600</v>
      </c>
      <c r="F8" s="21">
        <f>SUMIFS(Transactions!$K$6:$K$1000,Transactions!$A$6:$A$1000,$A8,Transactions!$F$6:$F$1000,"Sale",Transactions!$I$6:$I$1000,"Transfer")</f>
        <v>185800</v>
      </c>
      <c r="G8" s="21">
        <f>SUMIFS(Transactions!$K$6:$K$1000,Transactions!$A$6:$A$1000,$A8,Transactions!$F$6:$F$1000,"Sale",Transactions!$I$6:$I$1000,"Credit")</f>
        <v>454600</v>
      </c>
      <c r="H8" s="21">
        <f>SUMIFS(Transactions!$K$6:$K$1000,Transactions!$A$6:$A$1000,A8,Transactions!$F$6:$F$1000,"Sale")</f>
        <v>740000</v>
      </c>
      <c r="I8" s="21">
        <f>SUMIFS(Transactions!$K$6:$K$1000,Transactions!$A$6:$A$1000,A8,Transactions!$F$6:$F$1000,"Sales Return")</f>
        <v>34000</v>
      </c>
      <c r="J8" s="47">
        <f t="shared" si="1"/>
        <v>706000</v>
      </c>
    </row>
    <row r="9" spans="1:10" x14ac:dyDescent="0.25">
      <c r="A9" s="46">
        <f>Settings!$B$5+3</f>
        <v>46317</v>
      </c>
      <c r="B9" s="12" t="str">
        <f t="shared" si="0"/>
        <v>Thu</v>
      </c>
      <c r="C9" s="34">
        <f>COUNTIFS(Transactions!$A$6:$A$1000,A9,Transactions!$F$6:$F$1000,"Sale")</f>
        <v>29</v>
      </c>
      <c r="D9" s="10">
        <f>SUMIFS(Transactions!$G$6:$G$1000,Transactions!$A$6:$A$1000,A9,Transactions!$F$6:$F$1000,"Sale")</f>
        <v>94</v>
      </c>
      <c r="E9" s="21">
        <f>SUMIFS(Transactions!$K$6:$K$1000,Transactions!$A$6:$A$1000,$A9,Transactions!$F$6:$F$1000,"Sale",Transactions!$I$6:$I$1000,"Cash")</f>
        <v>364400</v>
      </c>
      <c r="F9" s="21">
        <f>SUMIFS(Transactions!$K$6:$K$1000,Transactions!$A$6:$A$1000,$A9,Transactions!$F$6:$F$1000,"Sale",Transactions!$I$6:$I$1000,"Transfer")</f>
        <v>296400</v>
      </c>
      <c r="G9" s="21">
        <f>SUMIFS(Transactions!$K$6:$K$1000,Transactions!$A$6:$A$1000,$A9,Transactions!$F$6:$F$1000,"Sale",Transactions!$I$6:$I$1000,"Credit")</f>
        <v>429700</v>
      </c>
      <c r="H9" s="21">
        <f>SUMIFS(Transactions!$K$6:$K$1000,Transactions!$A$6:$A$1000,A9,Transactions!$F$6:$F$1000,"Sale")</f>
        <v>1090500</v>
      </c>
      <c r="I9" s="21">
        <f>SUMIFS(Transactions!$K$6:$K$1000,Transactions!$A$6:$A$1000,A9,Transactions!$F$6:$F$1000,"Sales Return")</f>
        <v>72500</v>
      </c>
      <c r="J9" s="47">
        <f t="shared" si="1"/>
        <v>1018000</v>
      </c>
    </row>
    <row r="10" spans="1:10" x14ac:dyDescent="0.25">
      <c r="A10" s="46">
        <f>Settings!$B$5+4</f>
        <v>46318</v>
      </c>
      <c r="B10" s="12" t="str">
        <f t="shared" si="0"/>
        <v>Fri</v>
      </c>
      <c r="C10" s="34">
        <f>COUNTIFS(Transactions!$A$6:$A$1000,A10,Transactions!$F$6:$F$1000,"Sale")</f>
        <v>33</v>
      </c>
      <c r="D10" s="10">
        <f>SUMIFS(Transactions!$G$6:$G$1000,Transactions!$A$6:$A$1000,A10,Transactions!$F$6:$F$1000,"Sale")</f>
        <v>95</v>
      </c>
      <c r="E10" s="21">
        <f>SUMIFS(Transactions!$K$6:$K$1000,Transactions!$A$6:$A$1000,$A10,Transactions!$F$6:$F$1000,"Sale",Transactions!$I$6:$I$1000,"Cash")</f>
        <v>490200</v>
      </c>
      <c r="F10" s="21">
        <f>SUMIFS(Transactions!$K$6:$K$1000,Transactions!$A$6:$A$1000,$A10,Transactions!$F$6:$F$1000,"Sale",Transactions!$I$6:$I$1000,"Transfer")</f>
        <v>167800</v>
      </c>
      <c r="G10" s="21">
        <f>SUMIFS(Transactions!$K$6:$K$1000,Transactions!$A$6:$A$1000,$A10,Transactions!$F$6:$F$1000,"Sale",Transactions!$I$6:$I$1000,"Credit")</f>
        <v>471700</v>
      </c>
      <c r="H10" s="21">
        <f>SUMIFS(Transactions!$K$6:$K$1000,Transactions!$A$6:$A$1000,A10,Transactions!$F$6:$F$1000,"Sale")</f>
        <v>1129700</v>
      </c>
      <c r="I10" s="21">
        <f>SUMIFS(Transactions!$K$6:$K$1000,Transactions!$A$6:$A$1000,A10,Transactions!$F$6:$F$1000,"Sales Return")</f>
        <v>11800</v>
      </c>
      <c r="J10" s="47">
        <f t="shared" si="1"/>
        <v>1117900</v>
      </c>
    </row>
    <row r="11" spans="1:10" x14ac:dyDescent="0.25">
      <c r="A11" s="46">
        <f>Settings!$B$5+5</f>
        <v>46319</v>
      </c>
      <c r="B11" s="12" t="str">
        <f t="shared" si="0"/>
        <v>Sat</v>
      </c>
      <c r="C11" s="34">
        <f>COUNTIFS(Transactions!$A$6:$A$1000,A11,Transactions!$F$6:$F$1000,"Sale")</f>
        <v>35</v>
      </c>
      <c r="D11" s="10">
        <f>SUMIFS(Transactions!$G$6:$G$1000,Transactions!$A$6:$A$1000,A11,Transactions!$F$6:$F$1000,"Sale")</f>
        <v>133</v>
      </c>
      <c r="E11" s="21">
        <f>SUMIFS(Transactions!$K$6:$K$1000,Transactions!$A$6:$A$1000,$A11,Transactions!$F$6:$F$1000,"Sale",Transactions!$I$6:$I$1000,"Cash")</f>
        <v>436900</v>
      </c>
      <c r="F11" s="21">
        <f>SUMIFS(Transactions!$K$6:$K$1000,Transactions!$A$6:$A$1000,$A11,Transactions!$F$6:$F$1000,"Sale",Transactions!$I$6:$I$1000,"Transfer")</f>
        <v>893900</v>
      </c>
      <c r="G11" s="21">
        <f>SUMIFS(Transactions!$K$6:$K$1000,Transactions!$A$6:$A$1000,$A11,Transactions!$F$6:$F$1000,"Sale",Transactions!$I$6:$I$1000,"Credit")</f>
        <v>553300</v>
      </c>
      <c r="H11" s="21">
        <f>SUMIFS(Transactions!$K$6:$K$1000,Transactions!$A$6:$A$1000,A11,Transactions!$F$6:$F$1000,"Sale")</f>
        <v>1884100</v>
      </c>
      <c r="I11" s="21">
        <f>SUMIFS(Transactions!$K$6:$K$1000,Transactions!$A$6:$A$1000,A11,Transactions!$F$6:$F$1000,"Sales Return")</f>
        <v>4600</v>
      </c>
      <c r="J11" s="47">
        <f t="shared" si="1"/>
        <v>1879500</v>
      </c>
    </row>
    <row r="12" spans="1:10" x14ac:dyDescent="0.25">
      <c r="A12" s="23" t="s">
        <v>454</v>
      </c>
      <c r="B12" s="24"/>
      <c r="C12" s="43">
        <f t="shared" ref="C12:J12" si="2">SUM(C6:C11)</f>
        <v>174</v>
      </c>
      <c r="D12" s="43">
        <f t="shared" si="2"/>
        <v>532</v>
      </c>
      <c r="E12" s="27">
        <f t="shared" si="2"/>
        <v>2077800</v>
      </c>
      <c r="F12" s="27">
        <f t="shared" si="2"/>
        <v>1972900</v>
      </c>
      <c r="G12" s="27">
        <f t="shared" si="2"/>
        <v>2538200</v>
      </c>
      <c r="H12" s="27">
        <f t="shared" si="2"/>
        <v>6588900</v>
      </c>
      <c r="I12" s="27">
        <f t="shared" si="2"/>
        <v>139100</v>
      </c>
      <c r="J12" s="27">
        <f t="shared" si="2"/>
        <v>6449800</v>
      </c>
    </row>
    <row r="13" spans="1:10" x14ac:dyDescent="0.25">
      <c r="A13" s="6" t="s">
        <v>525</v>
      </c>
      <c r="J13" s="48">
        <f>H12-E12-F12-G12</f>
        <v>0</v>
      </c>
    </row>
    <row r="15" spans="1:10" x14ac:dyDescent="0.25">
      <c r="A15" s="18" t="s">
        <v>526</v>
      </c>
    </row>
    <row r="16" spans="1:10" ht="30" customHeight="1" x14ac:dyDescent="0.25">
      <c r="A16" s="4" t="s">
        <v>121</v>
      </c>
      <c r="B16" s="4"/>
      <c r="C16" s="9" t="s">
        <v>85</v>
      </c>
      <c r="D16" s="9" t="s">
        <v>504</v>
      </c>
      <c r="E16" s="9" t="s">
        <v>527</v>
      </c>
    </row>
    <row r="17" spans="1:5" x14ac:dyDescent="0.25">
      <c r="A17" s="3" t="s">
        <v>129</v>
      </c>
      <c r="B17" s="3"/>
      <c r="C17" s="10">
        <f>SUMIFS(Transactions!$G$6:$G$1000,Transactions!$E$6:$E$1000,$A17,Transactions!$F$6:$F$1000,"Sale",Transactions!$A$6:$A$1000,"&gt;="&amp;Settings!$B$5,Transactions!$A$6:$A$1000,"&lt;="&amp;Settings!$B$7)</f>
        <v>183</v>
      </c>
      <c r="D17" s="21">
        <f>SUMIFS(Transactions!$K$6:$K$1000,Transactions!$E$6:$E$1000,$A17,Transactions!$F$6:$F$1000,"Sale",Transactions!$A$6:$A$1000,"&gt;="&amp;Settings!$B$5,Transactions!$A$6:$A$1000,"&lt;="&amp;Settings!$B$7)</f>
        <v>868200</v>
      </c>
      <c r="E17" s="45">
        <f>IFERROR(D17/$D$22,0)</f>
        <v>0.13176706278741521</v>
      </c>
    </row>
    <row r="18" spans="1:5" x14ac:dyDescent="0.25">
      <c r="A18" s="3" t="s">
        <v>142</v>
      </c>
      <c r="B18" s="3"/>
      <c r="C18" s="10">
        <f>SUMIFS(Transactions!$G$6:$G$1000,Transactions!$E$6:$E$1000,$A18,Transactions!$F$6:$F$1000,"Sale",Transactions!$A$6:$A$1000,"&gt;="&amp;Settings!$B$5,Transactions!$A$6:$A$1000,"&lt;="&amp;Settings!$B$7)</f>
        <v>156</v>
      </c>
      <c r="D18" s="21">
        <f>SUMIFS(Transactions!$K$6:$K$1000,Transactions!$E$6:$E$1000,$A18,Transactions!$F$6:$F$1000,"Sale",Transactions!$A$6:$A$1000,"&gt;="&amp;Settings!$B$5,Transactions!$A$6:$A$1000,"&lt;="&amp;Settings!$B$7)</f>
        <v>1368600</v>
      </c>
      <c r="E18" s="45">
        <f>IFERROR(D18/$D$22,0)</f>
        <v>0.20771297181623641</v>
      </c>
    </row>
    <row r="19" spans="1:5" x14ac:dyDescent="0.25">
      <c r="A19" s="3" t="s">
        <v>152</v>
      </c>
      <c r="B19" s="3"/>
      <c r="C19" s="10">
        <f>SUMIFS(Transactions!$G$6:$G$1000,Transactions!$E$6:$E$1000,$A19,Transactions!$F$6:$F$1000,"Sale",Transactions!$A$6:$A$1000,"&gt;="&amp;Settings!$B$5,Transactions!$A$6:$A$1000,"&lt;="&amp;Settings!$B$7)</f>
        <v>34</v>
      </c>
      <c r="D19" s="21">
        <f>SUMIFS(Transactions!$K$6:$K$1000,Transactions!$E$6:$E$1000,$A19,Transactions!$F$6:$F$1000,"Sale",Transactions!$A$6:$A$1000,"&gt;="&amp;Settings!$B$5,Transactions!$A$6:$A$1000,"&lt;="&amp;Settings!$B$7)</f>
        <v>1386000</v>
      </c>
      <c r="E19" s="45">
        <f>IFERROR(D19/$D$22,0)</f>
        <v>0.21035377680644721</v>
      </c>
    </row>
    <row r="20" spans="1:5" x14ac:dyDescent="0.25">
      <c r="A20" s="3" t="s">
        <v>159</v>
      </c>
      <c r="B20" s="3"/>
      <c r="C20" s="10">
        <f>SUMIFS(Transactions!$G$6:$G$1000,Transactions!$E$6:$E$1000,$A20,Transactions!$F$6:$F$1000,"Sale",Transactions!$A$6:$A$1000,"&gt;="&amp;Settings!$B$5,Transactions!$A$6:$A$1000,"&lt;="&amp;Settings!$B$7)</f>
        <v>57</v>
      </c>
      <c r="D20" s="21">
        <f>SUMIFS(Transactions!$K$6:$K$1000,Transactions!$E$6:$E$1000,$A20,Transactions!$F$6:$F$1000,"Sale",Transactions!$A$6:$A$1000,"&gt;="&amp;Settings!$B$5,Transactions!$A$6:$A$1000,"&lt;="&amp;Settings!$B$7)</f>
        <v>937400</v>
      </c>
      <c r="E20" s="45">
        <f>IFERROR(D20/$D$22,0)</f>
        <v>0.14226957458756392</v>
      </c>
    </row>
    <row r="21" spans="1:5" x14ac:dyDescent="0.25">
      <c r="A21" s="3" t="s">
        <v>167</v>
      </c>
      <c r="B21" s="3"/>
      <c r="C21" s="10">
        <f>SUMIFS(Transactions!$G$6:$G$1000,Transactions!$E$6:$E$1000,$A21,Transactions!$F$6:$F$1000,"Sale",Transactions!$A$6:$A$1000,"&gt;="&amp;Settings!$B$5,Transactions!$A$6:$A$1000,"&lt;="&amp;Settings!$B$7)</f>
        <v>102</v>
      </c>
      <c r="D21" s="21">
        <f>SUMIFS(Transactions!$K$6:$K$1000,Transactions!$E$6:$E$1000,$A21,Transactions!$F$6:$F$1000,"Sale",Transactions!$A$6:$A$1000,"&gt;="&amp;Settings!$B$5,Transactions!$A$6:$A$1000,"&lt;="&amp;Settings!$B$7)</f>
        <v>2028700</v>
      </c>
      <c r="E21" s="45">
        <f>IFERROR(D21/$D$22,0)</f>
        <v>0.30789661400233725</v>
      </c>
    </row>
    <row r="22" spans="1:5" x14ac:dyDescent="0.25">
      <c r="A22" s="2" t="s">
        <v>454</v>
      </c>
      <c r="B22" s="2"/>
      <c r="C22" s="43">
        <f>SUM(C17:C21)</f>
        <v>532</v>
      </c>
      <c r="D22" s="27">
        <f>SUM(D17:D21)</f>
        <v>6588900</v>
      </c>
      <c r="E22" s="49">
        <f>SUM(E17:E21)</f>
        <v>1</v>
      </c>
    </row>
  </sheetData>
  <mergeCells count="7">
    <mergeCell ref="A21:B21"/>
    <mergeCell ref="A22:B22"/>
    <mergeCell ref="A16:B16"/>
    <mergeCell ref="A17:B17"/>
    <mergeCell ref="A18:B18"/>
    <mergeCell ref="A19:B19"/>
    <mergeCell ref="A20:B20"/>
  </mergeCells>
  <pageMargins left="0.75" right="0.75" top="1" bottom="1" header="0.511811023622047" footer="0.5"/>
  <pageSetup fitToHeight="0" orientation="landscape" horizontalDpi="300" verticalDpi="300"/>
  <headerFooter>
    <oddFooter>&amp;C&amp;A  | 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Weekly Report</vt:lpstr>
      <vt:lpstr>Settings</vt:lpstr>
      <vt:lpstr>Products</vt:lpstr>
      <vt:lpstr>Transactions</vt:lpstr>
      <vt:lpstr>Register</vt:lpstr>
      <vt:lpstr>Reorder Dashboard</vt:lpstr>
      <vt:lpstr>Reconciliation</vt:lpstr>
      <vt:lpstr>Movers Analysis</vt:lpstr>
      <vt:lpstr>Sales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Joy Oni</cp:lastModifiedBy>
  <cp:revision>1</cp:revision>
  <dcterms:created xsi:type="dcterms:W3CDTF">2026-10-28T03:20:13Z</dcterms:created>
  <dcterms:modified xsi:type="dcterms:W3CDTF">2026-10-28T12:11:11Z</dcterms:modified>
  <dc:language>en-US</dc:language>
</cp:coreProperties>
</file>